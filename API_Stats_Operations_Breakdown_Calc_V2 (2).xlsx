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U Folder\API\"/>
    </mc:Choice>
  </mc:AlternateContent>
  <xr:revisionPtr revIDLastSave="0" documentId="13_ncr:1_{0A1024D9-16E2-43DE-8D01-61EF6E113643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Stat Formulas" sheetId="1" r:id="rId1"/>
    <sheet name="Race Data" sheetId="2" state="hidden" r:id="rId2"/>
    <sheet name="Creation Calculator" sheetId="3" r:id="rId3"/>
    <sheet name="Gear Calculator" sheetId="4" r:id="rId4"/>
    <sheet name="Stat Analysis" sheetId="5" r:id="rId5"/>
  </sheets>
  <definedNames>
    <definedName name="_xlnm._FilterDatabase" localSheetId="2" hidden="1">'Creation Calculator'!$A$16:$E$180</definedName>
    <definedName name="_xlnm._FilterDatabase" localSheetId="3" hidden="1">'Gear Calculator'!$A$31:$E$195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8" i="3" l="1"/>
  <c r="E41" i="3"/>
  <c r="E42" i="3"/>
  <c r="E29" i="3"/>
  <c r="E127" i="4"/>
  <c r="E22" i="3"/>
  <c r="E45" i="4"/>
  <c r="E49" i="3"/>
  <c r="E18" i="3"/>
  <c r="E20" i="3"/>
  <c r="F6" i="4"/>
  <c r="E192" i="4"/>
  <c r="E191" i="4"/>
  <c r="E189" i="4"/>
  <c r="E187" i="4"/>
  <c r="E184" i="4"/>
  <c r="E180" i="4"/>
  <c r="E175" i="4"/>
  <c r="E174" i="4"/>
  <c r="E171" i="4"/>
  <c r="E195" i="4" s="1"/>
  <c r="E170" i="4"/>
  <c r="E164" i="4"/>
  <c r="E160" i="4"/>
  <c r="E193" i="4" s="1"/>
  <c r="E154" i="4"/>
  <c r="E152" i="4"/>
  <c r="E182" i="4" s="1"/>
  <c r="E145" i="4"/>
  <c r="E136" i="4"/>
  <c r="E134" i="4"/>
  <c r="E135" i="4" s="1"/>
  <c r="E132" i="4"/>
  <c r="E129" i="4"/>
  <c r="E165" i="4" s="1"/>
  <c r="E128" i="4"/>
  <c r="E126" i="4"/>
  <c r="E124" i="4"/>
  <c r="E125" i="4" s="1"/>
  <c r="E120" i="4"/>
  <c r="E114" i="4"/>
  <c r="E115" i="4" s="1"/>
  <c r="E113" i="4"/>
  <c r="E112" i="4"/>
  <c r="E103" i="4"/>
  <c r="E99" i="4"/>
  <c r="E97" i="4"/>
  <c r="E95" i="4"/>
  <c r="E163" i="4" s="1"/>
  <c r="E91" i="4"/>
  <c r="E92" i="4" s="1"/>
  <c r="E86" i="4"/>
  <c r="E84" i="4"/>
  <c r="E80" i="4"/>
  <c r="E78" i="4"/>
  <c r="E143" i="4" s="1"/>
  <c r="E73" i="4"/>
  <c r="E74" i="4" s="1"/>
  <c r="E69" i="4"/>
  <c r="E53" i="4"/>
  <c r="E52" i="4"/>
  <c r="E41" i="4"/>
  <c r="E42" i="4" s="1"/>
  <c r="E40" i="4"/>
  <c r="E38" i="4"/>
  <c r="E90" i="4" s="1"/>
  <c r="E37" i="4"/>
  <c r="E14" i="4"/>
  <c r="D14" i="4"/>
  <c r="F14" i="4" s="1"/>
  <c r="E13" i="4"/>
  <c r="D13" i="4"/>
  <c r="F13" i="4" s="1"/>
  <c r="E12" i="4"/>
  <c r="D12" i="4"/>
  <c r="F12" i="4" s="1"/>
  <c r="E11" i="4"/>
  <c r="D11" i="4"/>
  <c r="F11" i="4" s="1"/>
  <c r="E10" i="4"/>
  <c r="D10" i="4"/>
  <c r="F10" i="4" s="1"/>
  <c r="E9" i="4"/>
  <c r="D9" i="4"/>
  <c r="E8" i="4"/>
  <c r="D8" i="4"/>
  <c r="F8" i="4" s="1"/>
  <c r="E7" i="4"/>
  <c r="D7" i="4"/>
  <c r="F7" i="4" s="1"/>
  <c r="E6" i="4"/>
  <c r="D6" i="4"/>
  <c r="C3" i="4"/>
  <c r="E3" i="4" s="1"/>
  <c r="E177" i="3"/>
  <c r="E174" i="3"/>
  <c r="E172" i="3"/>
  <c r="E169" i="3"/>
  <c r="E165" i="3"/>
  <c r="E160" i="3"/>
  <c r="E159" i="3"/>
  <c r="E156" i="3"/>
  <c r="E180" i="3" s="1"/>
  <c r="E155" i="3"/>
  <c r="E149" i="3"/>
  <c r="E176" i="3" s="1"/>
  <c r="E148" i="3"/>
  <c r="E145" i="3"/>
  <c r="E139" i="3"/>
  <c r="E137" i="3"/>
  <c r="E167" i="3" s="1"/>
  <c r="E130" i="3"/>
  <c r="E128" i="3"/>
  <c r="E121" i="3"/>
  <c r="E119" i="3"/>
  <c r="E120" i="3" s="1"/>
  <c r="E117" i="3"/>
  <c r="E114" i="3"/>
  <c r="E150" i="3" s="1"/>
  <c r="E113" i="3"/>
  <c r="E111" i="3"/>
  <c r="E112" i="3" s="1"/>
  <c r="E109" i="3"/>
  <c r="E110" i="3" s="1"/>
  <c r="E105" i="3"/>
  <c r="E99" i="3"/>
  <c r="E100" i="3" s="1"/>
  <c r="E98" i="3"/>
  <c r="E97" i="3"/>
  <c r="E88" i="3"/>
  <c r="E84" i="3"/>
  <c r="E82" i="3"/>
  <c r="E80" i="3"/>
  <c r="E76" i="3"/>
  <c r="E77" i="3" s="1"/>
  <c r="E75" i="3"/>
  <c r="E71" i="3"/>
  <c r="E69" i="3"/>
  <c r="E65" i="3"/>
  <c r="E63" i="3"/>
  <c r="E58" i="3"/>
  <c r="E59" i="3" s="1"/>
  <c r="E54" i="3"/>
  <c r="E38" i="3"/>
  <c r="E37" i="3"/>
  <c r="E26" i="3"/>
  <c r="E27" i="3" s="1"/>
  <c r="E25" i="3"/>
  <c r="E23" i="3"/>
  <c r="D14" i="3"/>
  <c r="E14" i="3" s="1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C3" i="3"/>
  <c r="E3" i="3" s="1"/>
  <c r="F9" i="4" l="1"/>
  <c r="E72" i="4"/>
  <c r="E96" i="4" s="1"/>
  <c r="E71" i="4"/>
  <c r="E54" i="4"/>
  <c r="E43" i="4"/>
  <c r="E44" i="4"/>
  <c r="E46" i="4" s="1"/>
  <c r="E158" i="4"/>
  <c r="E159" i="4"/>
  <c r="E32" i="4"/>
  <c r="E33" i="4"/>
  <c r="E138" i="4" s="1"/>
  <c r="E87" i="4"/>
  <c r="E119" i="4"/>
  <c r="E162" i="4"/>
  <c r="E166" i="4"/>
  <c r="E173" i="4"/>
  <c r="E183" i="4"/>
  <c r="E62" i="4"/>
  <c r="E63" i="4"/>
  <c r="E64" i="4" s="1"/>
  <c r="E65" i="4" s="1"/>
  <c r="E94" i="4" s="1"/>
  <c r="E81" i="4"/>
  <c r="E36" i="4"/>
  <c r="E185" i="4" s="1"/>
  <c r="E100" i="4"/>
  <c r="E118" i="4" s="1"/>
  <c r="E35" i="4"/>
  <c r="E83" i="4"/>
  <c r="E85" i="4" s="1"/>
  <c r="E190" i="4" s="1"/>
  <c r="E68" i="4"/>
  <c r="E137" i="4" s="1"/>
  <c r="E139" i="4"/>
  <c r="E140" i="4"/>
  <c r="E147" i="4"/>
  <c r="E148" i="4" s="1"/>
  <c r="E168" i="4"/>
  <c r="E50" i="4"/>
  <c r="E179" i="4"/>
  <c r="E51" i="4"/>
  <c r="E144" i="4"/>
  <c r="E89" i="4"/>
  <c r="E122" i="4"/>
  <c r="E161" i="4"/>
  <c r="E172" i="4"/>
  <c r="E101" i="4"/>
  <c r="E34" i="4"/>
  <c r="E56" i="3"/>
  <c r="E57" i="3"/>
  <c r="E81" i="3" s="1"/>
  <c r="E28" i="3"/>
  <c r="E31" i="3"/>
  <c r="E30" i="3"/>
  <c r="E39" i="3"/>
  <c r="E143" i="3"/>
  <c r="E144" i="3"/>
  <c r="E72" i="3"/>
  <c r="E104" i="3"/>
  <c r="E147" i="3"/>
  <c r="E151" i="3"/>
  <c r="E158" i="3"/>
  <c r="E168" i="3"/>
  <c r="E17" i="3"/>
  <c r="E123" i="3"/>
  <c r="E47" i="3"/>
  <c r="E48" i="3"/>
  <c r="E50" i="3" s="1"/>
  <c r="E79" i="3" s="1"/>
  <c r="E66" i="3"/>
  <c r="E21" i="3"/>
  <c r="E170" i="3" s="1"/>
  <c r="E53" i="3"/>
  <c r="E122" i="3" s="1"/>
  <c r="E68" i="3"/>
  <c r="E70" i="3" s="1"/>
  <c r="E175" i="3" s="1"/>
  <c r="E85" i="3"/>
  <c r="E103" i="3" s="1"/>
  <c r="E124" i="3"/>
  <c r="E125" i="3"/>
  <c r="E132" i="3"/>
  <c r="E133" i="3" s="1"/>
  <c r="E153" i="3"/>
  <c r="E154" i="3" s="1"/>
  <c r="E129" i="3"/>
  <c r="E164" i="3"/>
  <c r="E35" i="3"/>
  <c r="E36" i="3"/>
  <c r="E107" i="3"/>
  <c r="E146" i="3"/>
  <c r="E157" i="3"/>
  <c r="E74" i="3"/>
  <c r="E19" i="3"/>
  <c r="E86" i="3"/>
  <c r="E169" i="4" l="1"/>
  <c r="E156" i="4"/>
  <c r="E55" i="4"/>
  <c r="E56" i="4" s="1"/>
  <c r="E57" i="4" s="1"/>
  <c r="E47" i="4"/>
  <c r="E48" i="4" s="1"/>
  <c r="E32" i="3"/>
  <c r="E33" i="3" s="1"/>
  <c r="E40" i="3"/>
  <c r="E141" i="3"/>
</calcChain>
</file>

<file path=xl/sharedStrings.xml><?xml version="1.0" encoding="utf-8"?>
<sst xmlns="http://schemas.openxmlformats.org/spreadsheetml/2006/main" count="3212" uniqueCount="667">
  <si>
    <t>Name</t>
  </si>
  <si>
    <t>Stat ID</t>
  </si>
  <si>
    <t>Description</t>
  </si>
  <si>
    <t>Formula (abbreviated)</t>
  </si>
  <si>
    <t>Base Value (0)</t>
  </si>
  <si>
    <t>Primary Stat Dependencies</t>
  </si>
  <si>
    <t>Direct Stat Dependencies</t>
  </si>
  <si>
    <t>Full Stat Dependency Chain</t>
  </si>
  <si>
    <t>Base (10)</t>
  </si>
  <si>
    <t>Human (12)</t>
  </si>
  <si>
    <t>Minor Racial (13)</t>
  </si>
  <si>
    <t>Major Racial (14)</t>
  </si>
  <si>
    <t>Max Base (50)</t>
  </si>
  <si>
    <t>Max Human (52)</t>
  </si>
  <si>
    <t>Max Minor Racial (53)</t>
  </si>
  <si>
    <t>Max Major Racial (54)</t>
  </si>
  <si>
    <t>Show at Char Creation</t>
  </si>
  <si>
    <t>Formula (raw)</t>
  </si>
  <si>
    <t>Type</t>
  </si>
  <si>
    <t>Arcane Resistance Multiplier</t>
  </si>
  <si>
    <t>ArcaneResistanceMultiplier</t>
  </si>
  <si>
    <t>Multiplier for arcane damage from resistance</t>
  </si>
  <si>
    <t>1 - ArcaneResistanceValue</t>
  </si>
  <si>
    <t>Arcane Resistance</t>
  </si>
  <si>
    <t>Yes</t>
  </si>
  <si>
    <t>1 - Ctx.GetOrCalculateStat(Stat.ArcaneResistanceValue)</t>
  </si>
  <si>
    <t>Derived</t>
  </si>
  <si>
    <t>Base Faith Regeneration</t>
  </si>
  <si>
    <t>BaseFaithRegeneration</t>
  </si>
  <si>
    <t>Base Faith Regeneration from Spirit and flat sources</t>
  </si>
  <si>
    <t>10</t>
  </si>
  <si>
    <t>Base Health Regeneration</t>
  </si>
  <si>
    <t>BaseHealthRegeneration</t>
  </si>
  <si>
    <t>Base Health Regeneration from Vitality and flat sources</t>
  </si>
  <si>
    <t>MaxHP / 150</t>
  </si>
  <si>
    <t>Vitality</t>
  </si>
  <si>
    <t>Maximum Health</t>
  </si>
  <si>
    <t>Base Maximum Health, Maximum Health, Maximum Health Increase</t>
  </si>
  <si>
    <t>Ctx.GetOrCalculateStat(Stat.MaxHP) / 150</t>
  </si>
  <si>
    <t>Base Mana Regeneration</t>
  </si>
  <si>
    <t>BaseManaRegeneration</t>
  </si>
  <si>
    <t>Base Mana Regeneration from Spirit and flat sources</t>
  </si>
  <si>
    <t>MaxMana / 500</t>
  </si>
  <si>
    <t>Spirit</t>
  </si>
  <si>
    <t>Max Mana</t>
  </si>
  <si>
    <t>Base Maximum Mana, Max Mana, Maximum Mana Increase</t>
  </si>
  <si>
    <t>Ctx.GetOrCalculateStat(Stat.MaxMana) / 500</t>
  </si>
  <si>
    <t>Base Maximum Health</t>
  </si>
  <si>
    <t>BaseMaxHP</t>
  </si>
  <si>
    <t>Base Maximum Health from Vitality and flat sources</t>
  </si>
  <si>
    <t>5000 + 100 * Vitality</t>
  </si>
  <si>
    <t>5000 + 100 * Ctx.GetOrCalculateStat(Stat.Vitality)</t>
  </si>
  <si>
    <t>Base Maximum Mana</t>
  </si>
  <si>
    <t>BaseMaxMana</t>
  </si>
  <si>
    <t>Base Maximum Mana from Spirit and flat sources</t>
  </si>
  <si>
    <t>5000 + 100 * Spirit</t>
  </si>
  <si>
    <t>5000 + 100 * Ctx.GetOrCalculateStat(Stat.Spirit)</t>
  </si>
  <si>
    <t>Buff Duration</t>
  </si>
  <si>
    <t>BuffDurationMultiplier</t>
  </si>
  <si>
    <t>Increases the duration of Buffs you apply</t>
  </si>
  <si>
    <t>(1 + Conviction * 0.005)</t>
  </si>
  <si>
    <t>Conviction</t>
  </si>
  <si>
    <t>(float) (1 + Ctx.GetOrCalculateStat(Stat.Conviction) * 0.005)</t>
  </si>
  <si>
    <t>Buff Effect</t>
  </si>
  <si>
    <t>BuffEffectMultiplier</t>
  </si>
  <si>
    <t>Increases the numerical values of Buffs you apply</t>
  </si>
  <si>
    <t>Chaos Resistance Multiplier</t>
  </si>
  <si>
    <t>ChaosResistanceMultiplier</t>
  </si>
  <si>
    <t>Multiplier for chaos damage from resistance</t>
  </si>
  <si>
    <t>1 - ChaosResistanceValue</t>
  </si>
  <si>
    <t>Chaos Resistance</t>
  </si>
  <si>
    <t>1 - Ctx.GetOrCalculateStat(Stat.ChaosResistanceValue)</t>
  </si>
  <si>
    <t>Critical Hit Chance</t>
  </si>
  <si>
    <t>CriticalHitChance</t>
  </si>
  <si>
    <t>Fraction chance for critical hits</t>
  </si>
  <si>
    <t>(2 * (1 / (1 + Exp(-0.011 * CriticalHitRating))) - 1)</t>
  </si>
  <si>
    <t>Critical Hit Rating</t>
  </si>
  <si>
    <t>(float) (2 * (1 / (1 + System.Math.Exp(-0.011 * Ctx.GetOrCalculateStat(Stat.CriticalHitRating)))) - 1)</t>
  </si>
  <si>
    <t>Crushing Resistance Multiplier</t>
  </si>
  <si>
    <t>CrushingResistanceMultiplier</t>
  </si>
  <si>
    <t>Multiplier for crushing damage from resistance</t>
  </si>
  <si>
    <t>1 - CrushingResistanceValue</t>
  </si>
  <si>
    <t>Crushing Resistance</t>
  </si>
  <si>
    <t>1 - Ctx.GetOrCalculateStat(Stat.CrushingResistanceValue)</t>
  </si>
  <si>
    <t>Current Max Health</t>
  </si>
  <si>
    <t>MaxHPLimit</t>
  </si>
  <si>
    <t>Restricted Max HP for limitations like Wounds</t>
  </si>
  <si>
    <t>MaxHP</t>
  </si>
  <si>
    <t>Ctx.GetOrCalculateStat(Stat.MaxHP)</t>
  </si>
  <si>
    <t>Debuff Duration Multiplier</t>
  </si>
  <si>
    <t>DebuffDurationMultiplier</t>
  </si>
  <si>
    <t>Multiplier for duration of Debuffs applied to you</t>
  </si>
  <si>
    <t>1 - DebuffDurationReduction</t>
  </si>
  <si>
    <t>Endurance</t>
  </si>
  <si>
    <t>Debuff Duration Reduction</t>
  </si>
  <si>
    <t>1 - Ctx.GetOrCalculateStat(Stat.DebuffDurationReduction)</t>
  </si>
  <si>
    <t>DebuffDurationReduction</t>
  </si>
  <si>
    <t>Reduces the duration of Debuffs applied to you</t>
  </si>
  <si>
    <t>(Endurance * 0.005)</t>
  </si>
  <si>
    <t>(float) (Ctx.GetOrCalculateStat(Stat.Endurance) * 0.005)</t>
  </si>
  <si>
    <t>Detection Range</t>
  </si>
  <si>
    <t>DetectionRange</t>
  </si>
  <si>
    <t>Determines how far away you can see Stealthed enemies.</t>
  </si>
  <si>
    <t>(5 + Command * 0.75)</t>
  </si>
  <si>
    <t>Command</t>
  </si>
  <si>
    <t>(float) (5 + Ctx.GetOrCalculateStat(Stat.Command) * 0.75)</t>
  </si>
  <si>
    <t>Detection Regen</t>
  </si>
  <si>
    <t>DetectionRegen</t>
  </si>
  <si>
    <t>Regen to make Detection Resource work</t>
  </si>
  <si>
    <t>100</t>
  </si>
  <si>
    <t>Earth Resistance Multiplier</t>
  </si>
  <si>
    <t>EarthResistanceMultiplier</t>
  </si>
  <si>
    <t>Multiplier for earth damage from resistance</t>
  </si>
  <si>
    <t>1 - EarthResistanceValue</t>
  </si>
  <si>
    <t>Earth Resistance</t>
  </si>
  <si>
    <t>1 - Ctx.GetOrCalculateStat(Stat.EarthResistanceValue)</t>
  </si>
  <si>
    <t>Faith Regeneration Increase</t>
  </si>
  <si>
    <t>FaithRegenerationIncrease</t>
  </si>
  <si>
    <t>Multiplier on Base Faith Regeneration</t>
  </si>
  <si>
    <t>(Spirit * 0.03)</t>
  </si>
  <si>
    <t>(float) (Ctx.GetOrCalculateStat(Stat.Spirit) * 0.03)</t>
  </si>
  <si>
    <t>Fire Resistance Multiplier</t>
  </si>
  <si>
    <t>FireResistanceMultiplier</t>
  </si>
  <si>
    <t>Multiplier for fire damage from resistance</t>
  </si>
  <si>
    <t>1 - FireResistanceValue</t>
  </si>
  <si>
    <t>Fire Resistance</t>
  </si>
  <si>
    <t>1 - Ctx.GetOrCalculateStat(Stat.FireResistanceValue)</t>
  </si>
  <si>
    <t>Focus Charger Regen</t>
  </si>
  <si>
    <t>FocusChargerRegen</t>
  </si>
  <si>
    <t>Amount to increase focus charger bar per tick</t>
  </si>
  <si>
    <t>20</t>
  </si>
  <si>
    <t>Healing Multiplier</t>
  </si>
  <si>
    <t>BaseHealingMultiplier</t>
  </si>
  <si>
    <t>Increases Healing done by your abilities</t>
  </si>
  <si>
    <t>(1 + Conviction * 0.01)</t>
  </si>
  <si>
    <t>(float) (1 + Ctx.GetOrCalculateStat(Stat.Conviction) * 0.01)</t>
  </si>
  <si>
    <t>Health Regeneration</t>
  </si>
  <si>
    <t>CombinedHealthRegeneration</t>
  </si>
  <si>
    <t>Rate at which combined health regenerates over time.</t>
  </si>
  <si>
    <t>HealthRegeneration</t>
  </si>
  <si>
    <t>Base Health Regeneration, Base Maximum Health, Health Regeneration, Health Regeneration Increase, Maximum Health, Maximum Health Increase</t>
  </si>
  <si>
    <t>Ctx.GetOrCalculateStat(Stat.HealthRegeneration)</t>
  </si>
  <si>
    <t>Health regenerated per second while out of combat.</t>
  </si>
  <si>
    <t>(BaseHealthRegeneration * (1 + HealthRegenerationIncrease))</t>
  </si>
  <si>
    <t>Base Health Regeneration, Health Regeneration Increase</t>
  </si>
  <si>
    <t>Base Health Regeneration, Base Maximum Health, Health Regeneration Increase, Maximum Health, Maximum Health Increase</t>
  </si>
  <si>
    <t>(float) (Ctx.GetOrCalculateStat(Stat.BaseHealthRegeneration) * (1 + Ctx.GetOrCalculateStat(Stat.HealthRegenerationIncrease)))</t>
  </si>
  <si>
    <t>Health Regeneration Increase</t>
  </si>
  <si>
    <t>HealthRegenerationIncrease</t>
  </si>
  <si>
    <t>Multiplier on Base Health Regeneration</t>
  </si>
  <si>
    <t>(Vitality * 0.02)</t>
  </si>
  <si>
    <t>(float) (Ctx.GetOrCalculateStat(Stat.Vitality) * 0.02)</t>
  </si>
  <si>
    <t>Lightning Resistance Multiplier</t>
  </si>
  <si>
    <t>LightningResistanceMultiplier</t>
  </si>
  <si>
    <t>Multiplier for lightning damage from resistance</t>
  </si>
  <si>
    <t>1 - LightningResistanceValue</t>
  </si>
  <si>
    <t>Lightning Resistance</t>
  </si>
  <si>
    <t>1 - Ctx.GetOrCalculateStat(Stat.LightningResistanceValue)</t>
  </si>
  <si>
    <t>Magic Armor Multiplier</t>
  </si>
  <si>
    <t>MagicArmorMultiplier</t>
  </si>
  <si>
    <t>Multiplier for magic damage from armor</t>
  </si>
  <si>
    <t>1 - (0.003 * MagicArmorRating) / (1 + 0.003 * MagicArmorRating)</t>
  </si>
  <si>
    <t>Magic Armor Rating</t>
  </si>
  <si>
    <t>1 - (0.003f * Ctx.GetOrCalculateStat(Stat.MagicArmorRating)) / (1 + 0.003f * Ctx.GetOrCalculateStat(Stat.MagicArmorRating))</t>
  </si>
  <si>
    <t>Mana Regeneration Increase</t>
  </si>
  <si>
    <t>ManaRegenerationIncrease</t>
  </si>
  <si>
    <t>Multiplier on Base Mana Regeneration</t>
  </si>
  <si>
    <t>(Spirit * 0.02)</t>
  </si>
  <si>
    <t>(float) (Ctx.GetOrCalculateStat(Stat.Spirit) * 0.02)</t>
  </si>
  <si>
    <t>Maximum Combined Health</t>
  </si>
  <si>
    <t>MaxCombinedHealth</t>
  </si>
  <si>
    <t>Maximum HP + maximum shield</t>
  </si>
  <si>
    <t>MaxHP + MaxShield</t>
  </si>
  <si>
    <t>Maximum Health, Maximum Shield</t>
  </si>
  <si>
    <t>Base Maximum Health, Maximum Health, Maximum Health Increase, Maximum Shield</t>
  </si>
  <si>
    <t>Ctx.GetOrCalculateStat(Stat.MaxHP) + Ctx.GetOrCalculateStat(Stat.MaxShield)</t>
  </si>
  <si>
    <t>Maximum Health value</t>
  </si>
  <si>
    <t>(BaseMaxHP * (1 + MaxHPIncrease))</t>
  </si>
  <si>
    <t>Base Maximum Health, Maximum Health Increase</t>
  </si>
  <si>
    <t>(float) (Ctx.GetOrCalculateStat(Stat.BaseMaxHP) * (1 + Ctx.GetOrCalculateStat(Stat.MaxHPIncrease)))</t>
  </si>
  <si>
    <t>Maximum Health Increase</t>
  </si>
  <si>
    <t>MaxHPIncrease</t>
  </si>
  <si>
    <t>Multiplier on Base Maximum Health</t>
  </si>
  <si>
    <t>Maximum Mana Increase</t>
  </si>
  <si>
    <t>MaxManaIncrease</t>
  </si>
  <si>
    <t>Multiplier on Base Maximum Mana</t>
  </si>
  <si>
    <t>Maximum Panic Rating</t>
  </si>
  <si>
    <t>MaxPanic</t>
  </si>
  <si>
    <t>The maximum amount of Panic you can sustain before becoming vulnerable to Terror effects.</t>
  </si>
  <si>
    <t>1000</t>
  </si>
  <si>
    <t>Maximum Prospecting Excavation</t>
  </si>
  <si>
    <t>ProspectingExcavationMax</t>
  </si>
  <si>
    <t>Maximum excavation of prospecting resource</t>
  </si>
  <si>
    <t>Maximum Prospecting Fragility</t>
  </si>
  <si>
    <t>ProspectingFragilityMax</t>
  </si>
  <si>
    <t>Maximum fragility of prospecting resource</t>
  </si>
  <si>
    <t>Maximum Shield</t>
  </si>
  <si>
    <t>MaxShield</t>
  </si>
  <si>
    <t>Increases the character's maximum shield value.</t>
  </si>
  <si>
    <t>MaxHP / 2</t>
  </si>
  <si>
    <t>Ctx.GetOrCalculateStat(Stat.MaxHP) / 2</t>
  </si>
  <si>
    <t>Mind Resistance Multiplier</t>
  </si>
  <si>
    <t>MindResistanceMultiplier</t>
  </si>
  <si>
    <t>Multiplier for mind damage from resistance</t>
  </si>
  <si>
    <t>1 - MindResistanceValue</t>
  </si>
  <si>
    <t>Mind Resistance</t>
  </si>
  <si>
    <t>1 - Ctx.GetOrCalculateStat(Stat.MindResistanceValue)</t>
  </si>
  <si>
    <t>Movement Speed</t>
  </si>
  <si>
    <t>MaxMoveSpeed</t>
  </si>
  <si>
    <t>Increases the maximum movement speed of the character.</t>
  </si>
  <si>
    <t>11</t>
  </si>
  <si>
    <t>Panic Multiplier</t>
  </si>
  <si>
    <t>BasePanicMultiplier</t>
  </si>
  <si>
    <t>Increases Panic inflicted by your abilities</t>
  </si>
  <si>
    <t>(1 + Command * 0.01)</t>
  </si>
  <si>
    <t>(float) (1 + Ctx.GetOrCalculateStat(Stat.Command) * 0.01)</t>
  </si>
  <si>
    <t>Panic Rating Decay</t>
  </si>
  <si>
    <t>PanicDecay</t>
  </si>
  <si>
    <t>Increase the rate at which accumulated Panic is decreased.</t>
  </si>
  <si>
    <t>-5</t>
  </si>
  <si>
    <t>Panic Resistance</t>
  </si>
  <si>
    <t>PanicResistanceValue</t>
  </si>
  <si>
    <t>Reduces the amount of Panic inflicted on you</t>
  </si>
  <si>
    <t>(Will * 0.005)</t>
  </si>
  <si>
    <t>Will</t>
  </si>
  <si>
    <t>(float) (Ctx.GetOrCalculateStat(Stat.Will) * 0.005)</t>
  </si>
  <si>
    <t>Panic Resistance Multiplier</t>
  </si>
  <si>
    <t>PanicResistanceMultiplier</t>
  </si>
  <si>
    <t>Multiplier for Panic inflicted on you</t>
  </si>
  <si>
    <t>1 - PanicResistanceValue</t>
  </si>
  <si>
    <t>1 - Ctx.GetOrCalculateStat(Stat.PanicResistanceValue)</t>
  </si>
  <si>
    <t>Participation Max Value</t>
  </si>
  <si>
    <t>ParticipationMax</t>
  </si>
  <si>
    <t>Standard maximum number of points you can accrue for participation</t>
  </si>
  <si>
    <t>10000000</t>
  </si>
  <si>
    <t>Percent Max</t>
  </si>
  <si>
    <t>PercentMax</t>
  </si>
  <si>
    <t>Standard Maximum of 100</t>
  </si>
  <si>
    <t>Physical Armor Multiplier</t>
  </si>
  <si>
    <t>PhysicalArmorMultiplier</t>
  </si>
  <si>
    <t>Multiplier for physical damage from armor</t>
  </si>
  <si>
    <t>1 - (0.003 * PhysicalArmorRating) / (1 + 0.003 * PhysicalArmorRating)</t>
  </si>
  <si>
    <t>Physical Armor Rating</t>
  </si>
  <si>
    <t>1 - (0.003f * Ctx.GetOrCalculateStat(Stat.PhysicalArmorRating)) / (1 + 0.003f * Ctx.GetOrCalculateStat(Stat.PhysicalArmorRating))</t>
  </si>
  <si>
    <t>Piercing Resistance Multiplier</t>
  </si>
  <si>
    <t>PiercingResistanceMultiplier</t>
  </si>
  <si>
    <t>Multiplier for piercing damage from resistance</t>
  </si>
  <si>
    <t>1 - PiercingResistanceValue</t>
  </si>
  <si>
    <t>Piercing Resistance</t>
  </si>
  <si>
    <t>1 - Ctx.GetOrCalculateStat(Stat.PiercingResistanceValue)</t>
  </si>
  <si>
    <t>Shadow Resistance Multiplier</t>
  </si>
  <si>
    <t>ShadowResistanceMultiplier</t>
  </si>
  <si>
    <t>Multiplier for shadow damage from resistance</t>
  </si>
  <si>
    <t>1 - ShadowResistanceValue</t>
  </si>
  <si>
    <t>Shadow Resistance</t>
  </si>
  <si>
    <t>1 - Ctx.GetOrCalculateStat(Stat.ShadowResistanceValue)</t>
  </si>
  <si>
    <t>Slashing Resistance Multiplier</t>
  </si>
  <si>
    <t>SlashingResistanceMultiplier</t>
  </si>
  <si>
    <t>Multiplier for slashing damage from resistance</t>
  </si>
  <si>
    <t>1 - SlashingResistanceValue</t>
  </si>
  <si>
    <t>Slashing Resistance</t>
  </si>
  <si>
    <t>1 - Ctx.GetOrCalculateStat(Stat.SlashingResistanceValue)</t>
  </si>
  <si>
    <t>Spell Damage Multiplier</t>
  </si>
  <si>
    <t>BaseSpellDamageMultiplier</t>
  </si>
  <si>
    <t>Increases damage with Spell abilities</t>
  </si>
  <si>
    <t>(1 + Attunement * 0.01)</t>
  </si>
  <si>
    <t>Attunement</t>
  </si>
  <si>
    <t>(float) (1 + Ctx.GetOrCalculateStat(Stat.Attunement) * 0.01)</t>
  </si>
  <si>
    <t>Spirit Resistance Multiplier</t>
  </si>
  <si>
    <t>SpiritResistanceMultiplier</t>
  </si>
  <si>
    <t>Multiplier for spirit damage from resistance</t>
  </si>
  <si>
    <t>1 - SpiritResistanceValue</t>
  </si>
  <si>
    <t>Spirit Resistance</t>
  </si>
  <si>
    <t>1 - Ctx.GetOrCalculateStat(Stat.SpiritResistanceValue)</t>
  </si>
  <si>
    <t>Veil Resistance</t>
  </si>
  <si>
    <t>VeilResistance</t>
  </si>
  <si>
    <t>Reduces the cost of remaining in the Veil</t>
  </si>
  <si>
    <t>(1 - Command * 0.005)</t>
  </si>
  <si>
    <t>(float) (1 - Ctx.GetOrCalculateStat(Stat.Command) * 0.005)</t>
  </si>
  <si>
    <t>Void Resistance Multiplier</t>
  </si>
  <si>
    <t>VoidResistanceMultiplier</t>
  </si>
  <si>
    <t>Multiplier for void damage from resistance</t>
  </si>
  <si>
    <t>1 - VoidResistanceValue</t>
  </si>
  <si>
    <t>Void Resistance</t>
  </si>
  <si>
    <t>1 - Ctx.GetOrCalculateStat(Stat.VoidResistanceValue)</t>
  </si>
  <si>
    <t>Weapon Damage Multiplier</t>
  </si>
  <si>
    <t>BaseWeaponDamageMultiplier</t>
  </si>
  <si>
    <t>Increases damage with Weaponskill abilities</t>
  </si>
  <si>
    <t>(1 + Strength * 0.01)</t>
  </si>
  <si>
    <t>Strength</t>
  </si>
  <si>
    <t>(float) (1 + Ctx.GetOrCalculateStat(Stat.Strength) * 0.01)</t>
  </si>
  <si>
    <t>ArcaneResistanceValue</t>
  </si>
  <si>
    <t>Amount to resist arcane damage</t>
  </si>
  <si>
    <t>0</t>
  </si>
  <si>
    <t>Hidden</t>
  </si>
  <si>
    <t>Base Block Value</t>
  </si>
  <si>
    <t>BaseBlockValue</t>
  </si>
  <si>
    <t>Base Block Value from flat sources</t>
  </si>
  <si>
    <t>Base Evasion Chance</t>
  </si>
  <si>
    <t>BaseEvasionChance</t>
  </si>
  <si>
    <t>Base Evasion Chance from Dexterity and flat sources</t>
  </si>
  <si>
    <t>(Dexterity * 0.002)</t>
  </si>
  <si>
    <t>Dexterity</t>
  </si>
  <si>
    <t>(float) (Ctx.GetOrCalculateStat(Stat.Dexterity) * 0.002)</t>
  </si>
  <si>
    <t>Base Guts</t>
  </si>
  <si>
    <t>BaseGutsValue</t>
  </si>
  <si>
    <t>Base Guts from minimum plus flat sources</t>
  </si>
  <si>
    <t>0.1</t>
  </si>
  <si>
    <t>Base Guts Threshold</t>
  </si>
  <si>
    <t>BaseGutsThreshold</t>
  </si>
  <si>
    <t>Base Guts Threshold from minimum plus flat sources</t>
  </si>
  <si>
    <t>Block Cooldown</t>
  </si>
  <si>
    <t>BlockCooldown</t>
  </si>
  <si>
    <t>Initiated after a block is triggered, cannot block until cooldown is finished</t>
  </si>
  <si>
    <t>(4 * (1 - (BlockCooldownReduction)))</t>
  </si>
  <si>
    <t>Block Cooldown Reduction</t>
  </si>
  <si>
    <t>(float) (4 * (1 - (Ctx.GetOrCalculateStat(Stat.BlockCooldownReduction))))</t>
  </si>
  <si>
    <t>BlockCooldownReduction</t>
  </si>
  <si>
    <t>Reduces Block CD</t>
  </si>
  <si>
    <t>(Dexterity * 0.01)</t>
  </si>
  <si>
    <t>(float) (Ctx.GetOrCalculateStat(Stat.Dexterity) * 0.01)</t>
  </si>
  <si>
    <t>Block Value</t>
  </si>
  <si>
    <t>BlockValue</t>
  </si>
  <si>
    <t>Serves as the threshold to trigger a block and the amount of damage blocked</t>
  </si>
  <si>
    <t>(BaseBlockValue * (1 + BlockValueIncrease))</t>
  </si>
  <si>
    <t>Base Block Value, Block Value Increase</t>
  </si>
  <si>
    <t>(float) (Ctx.GetOrCalculateStat(Stat.BaseBlockValue) * (1 + Ctx.GetOrCalculateStat(Stat.BlockValueIncrease)))</t>
  </si>
  <si>
    <t>Block Value Increase</t>
  </si>
  <si>
    <t>BlockValueIncrease</t>
  </si>
  <si>
    <t>Multiplier on Base Block Value</t>
  </si>
  <si>
    <t>(Endurance * 0.01)</t>
  </si>
  <si>
    <t>(float) (Ctx.GetOrCalculateStat(Stat.Endurance) * 0.01)</t>
  </si>
  <si>
    <t>ChaosResistanceValue</t>
  </si>
  <si>
    <t>Amount to resist chaos damage</t>
  </si>
  <si>
    <t>Cooldown Speed</t>
  </si>
  <si>
    <t>CooldownSpeed</t>
  </si>
  <si>
    <t>1</t>
  </si>
  <si>
    <t>Courage Degeneration</t>
  </si>
  <si>
    <t>CourageDegeneration</t>
  </si>
  <si>
    <t>The rate at which Courage decays over time</t>
  </si>
  <si>
    <t>-10 * (100 / Spirit)</t>
  </si>
  <si>
    <t>div/0</t>
  </si>
  <si>
    <t>-10 * (100 / Ctx.GetOrCalculateStat(Stat.Spirit))</t>
  </si>
  <si>
    <t>Courage Gain Multiplier</t>
  </si>
  <si>
    <t>CourageGainMultiplier</t>
  </si>
  <si>
    <t>Increases the amount of Courage gained from abilities and effects</t>
  </si>
  <si>
    <t>(1 + Spirit * 0.005)</t>
  </si>
  <si>
    <t>(float) (1 + Ctx.GetOrCalculateStat(Stat.Spirit) * 0.005)</t>
  </si>
  <si>
    <t>Critical Hit Multiplier</t>
  </si>
  <si>
    <t>CriticalDamageMultiplier</t>
  </si>
  <si>
    <t>Fraction more damage</t>
  </si>
  <si>
    <t>1.25</t>
  </si>
  <si>
    <t>CriticalHitRating</t>
  </si>
  <si>
    <t>Basis for Critical Hit Chance</t>
  </si>
  <si>
    <t>CrushingResistanceValue</t>
  </si>
  <si>
    <t>Amount to resist crushing damage</t>
  </si>
  <si>
    <t>Determination Regeneration</t>
  </si>
  <si>
    <t>DeterminationRegeneration</t>
  </si>
  <si>
    <t>The rate at which Determination recovers over time</t>
  </si>
  <si>
    <t>20 * (Spirit / 100)</t>
  </si>
  <si>
    <t>20 * (Ctx.GetOrCalculateStat(Stat.Spirit) / 100)</t>
  </si>
  <si>
    <t>EarthResistanceValue</t>
  </si>
  <si>
    <t>Amount to resist earth damage</t>
  </si>
  <si>
    <t>Evasion Chance</t>
  </si>
  <si>
    <t>EvasionChance</t>
  </si>
  <si>
    <t>Chance for damage to be evaded</t>
  </si>
  <si>
    <t>(BaseEvasionChance * (1 + EvasionChanceIncrease))</t>
  </si>
  <si>
    <t>Base Evasion Chance, Evasion Chance Increase</t>
  </si>
  <si>
    <t>(float) (Ctx.GetOrCalculateStat(Stat.BaseEvasionChance) * (1 + Ctx.GetOrCalculateStat(Stat.EvasionChanceIncrease)))</t>
  </si>
  <si>
    <t>Evasion Chance Increase</t>
  </si>
  <si>
    <t>EvasionChanceIncrease</t>
  </si>
  <si>
    <t>Multiplier on Base Evasion Chance</t>
  </si>
  <si>
    <t>Evasion Multiplier</t>
  </si>
  <si>
    <t>EvasionMultiplier</t>
  </si>
  <si>
    <t>Multiplier for damage when damage is evaded</t>
  </si>
  <si>
    <t>Faith Regeneration</t>
  </si>
  <si>
    <t>FaithRegeneration</t>
  </si>
  <si>
    <t>The rate at which Faith recovers over time</t>
  </si>
  <si>
    <t>(BaseFaithRegeneration * (1 + FaithRegenerationIncrease))</t>
  </si>
  <si>
    <t>Base Faith Regeneration, Faith Regeneration Increase</t>
  </si>
  <si>
    <t>(float) (Ctx.GetOrCalculateStat(Stat.BaseFaithRegeneration) * (1 + Ctx.GetOrCalculateStat(Stat.FaithRegenerationIncrease)))</t>
  </si>
  <si>
    <t>FireResistanceValue</t>
  </si>
  <si>
    <t>Amount to resist fire damage</t>
  </si>
  <si>
    <t>Focus Regeneration</t>
  </si>
  <si>
    <t>FocusRegeneration</t>
  </si>
  <si>
    <t>The rate at which Focus recovers over time</t>
  </si>
  <si>
    <t>(0.1 + Spirit * 0.005)</t>
  </si>
  <si>
    <t>(float) (0.1 + Ctx.GetOrCalculateStat(Stat.Spirit) * 0.005)</t>
  </si>
  <si>
    <t>Guts Increase</t>
  </si>
  <si>
    <t>GutsValueIncrease</t>
  </si>
  <si>
    <t>Multiplier on Base Guts Value</t>
  </si>
  <si>
    <t>Guts Multiplier</t>
  </si>
  <si>
    <t>GutsMultiplier</t>
  </si>
  <si>
    <t>Multiplier for damage below the Guts Threshold</t>
  </si>
  <si>
    <t>1 - GutsValue</t>
  </si>
  <si>
    <t>Guts Value</t>
  </si>
  <si>
    <t>Base Guts, Guts Increase, Guts Value</t>
  </si>
  <si>
    <t>1 - Ctx.GetOrCalculateStat(Stat.GutsValue)</t>
  </si>
  <si>
    <t>Guts Threshold</t>
  </si>
  <si>
    <t>GutsThreshold</t>
  </si>
  <si>
    <t>Percent of Max Health below which Guts reduces damage taken</t>
  </si>
  <si>
    <t>(BaseGutsThreshold * (1 + GutsThresholdIncrease))</t>
  </si>
  <si>
    <t>Base Guts Threshold, Guts Threshold Increase</t>
  </si>
  <si>
    <t>(float) (Ctx.GetOrCalculateStat(Stat.BaseGutsThreshold) * (1 + Ctx.GetOrCalculateStat(Stat.GutsThresholdIncrease)))</t>
  </si>
  <si>
    <t>Guts Threshold Increase</t>
  </si>
  <si>
    <t>GutsThresholdIncrease</t>
  </si>
  <si>
    <t>Multiplier on Base Guts Threshold</t>
  </si>
  <si>
    <t>GutsValue</t>
  </si>
  <si>
    <t>Damage reduction while below Guts Threshold</t>
  </si>
  <si>
    <t>(BaseGutsValue * (1 + GutsValueIncrease))</t>
  </si>
  <si>
    <t>Base Guts, Guts Increase</t>
  </si>
  <si>
    <t>(float) (Ctx.GetOrCalculateStat(Stat.BaseGutsValue) * (1 + Ctx.GetOrCalculateStat(Stat.GutsValueIncrease)))</t>
  </si>
  <si>
    <t>Judgement Degeneration</t>
  </si>
  <si>
    <t>JudgementDegeneration</t>
  </si>
  <si>
    <t>The rate at which Judgement decays over time</t>
  </si>
  <si>
    <t>-3 * (100 / Spirit)</t>
  </si>
  <si>
    <t>-3 * (100 / Ctx.GetOrCalculateStat(Stat.Spirit))</t>
  </si>
  <si>
    <t>Judgement Gain Multiplier</t>
  </si>
  <si>
    <t>JudgementGainMultiplier</t>
  </si>
  <si>
    <t>Increases the amount of Judgement gained from abilities and effects</t>
  </si>
  <si>
    <t>LightningResistanceValue</t>
  </si>
  <si>
    <t>Amount to resist lightning damage</t>
  </si>
  <si>
    <t>MagicArmorRating</t>
  </si>
  <si>
    <t>Value used to determine MagicArmorMultiplier, sourced from target equipment, stats</t>
  </si>
  <si>
    <t>Mana Regeneration</t>
  </si>
  <si>
    <t>ManaRegeneration</t>
  </si>
  <si>
    <t>The rate at which Mana recovers over time</t>
  </si>
  <si>
    <t>(BaseManaRegeneration * (1 + ManaRegenerationIncrease))</t>
  </si>
  <si>
    <t>Base Mana Regeneration, Mana Regeneration Increase</t>
  </si>
  <si>
    <t>Base Mana Regeneration, Base Maximum Mana, Mana Regeneration Increase, Max Mana, Maximum Mana Increase</t>
  </si>
  <si>
    <t>(float) (Ctx.GetOrCalculateStat(Stat.BaseManaRegeneration) * (1 + Ctx.GetOrCalculateStat(Stat.ManaRegenerationIncrease)))</t>
  </si>
  <si>
    <t>Max Courage</t>
  </si>
  <si>
    <t>MaxCourage</t>
  </si>
  <si>
    <t>The max value of Courage resource</t>
  </si>
  <si>
    <t>Max Determination</t>
  </si>
  <si>
    <t>MaxDetermination</t>
  </si>
  <si>
    <t>The max value of Determination resource</t>
  </si>
  <si>
    <t>Max Faith</t>
  </si>
  <si>
    <t>MaxFaith</t>
  </si>
  <si>
    <t>The max value of Faith resource</t>
  </si>
  <si>
    <t>Max Focus</t>
  </si>
  <si>
    <t>MaxFocus</t>
  </si>
  <si>
    <t>The max value of Focus resource</t>
  </si>
  <si>
    <t>Max Judgement</t>
  </si>
  <si>
    <t>MaxJudgement</t>
  </si>
  <si>
    <t>The max value of Judgement resource</t>
  </si>
  <si>
    <t>MaxMana</t>
  </si>
  <si>
    <t>Maximum Mana value</t>
  </si>
  <si>
    <t>(BaseMaxMana * (1 + MaxManaIncrease))</t>
  </si>
  <si>
    <t>Base Maximum Mana, Maximum Mana Increase</t>
  </si>
  <si>
    <t>(float) (Ctx.GetOrCalculateStat(Stat.BaseMaxMana) * (1 + Ctx.GetOrCalculateStat(Stat.MaxManaIncrease)))</t>
  </si>
  <si>
    <t>Max Turn Speed</t>
  </si>
  <si>
    <t>MaxTurnSpeed</t>
  </si>
  <si>
    <t>20.1</t>
  </si>
  <si>
    <t>MindResistanceValue</t>
  </si>
  <si>
    <t>Amount to resist mind damage</t>
  </si>
  <si>
    <t>Move Acceleration</t>
  </si>
  <si>
    <t>MoveAcceleration</t>
  </si>
  <si>
    <t>60</t>
  </si>
  <si>
    <t>Parry Chance</t>
  </si>
  <si>
    <t>ParryChance</t>
  </si>
  <si>
    <t>Chance for damage to be parried</t>
  </si>
  <si>
    <t>0.05</t>
  </si>
  <si>
    <t>Parry Multiplier</t>
  </si>
  <si>
    <t>ParryMultiplier</t>
  </si>
  <si>
    <t>Multiplier for damage when damage is parried</t>
  </si>
  <si>
    <t>PhysicalArmorRating</t>
  </si>
  <si>
    <t>Value used to determine PhysicalArmorMultiplier, sourced from target equipment, stats</t>
  </si>
  <si>
    <t>PiercingResistanceValue</t>
  </si>
  <si>
    <t>Amount to resist piercing damage</t>
  </si>
  <si>
    <t>ShadowResistanceValue</t>
  </si>
  <si>
    <t>Amount to resist shadow damage</t>
  </si>
  <si>
    <t>SlashingResistanceValue</t>
  </si>
  <si>
    <t>Amount to resist slashing damage</t>
  </si>
  <si>
    <t>SpiritResistanceValue</t>
  </si>
  <si>
    <t>Amount to resist spirit damage</t>
  </si>
  <si>
    <t>Vertical Jump Speed</t>
  </si>
  <si>
    <t>VerticalJumpSpeed</t>
  </si>
  <si>
    <t>5.5</t>
  </si>
  <si>
    <t>VoidResistanceValue</t>
  </si>
  <si>
    <t>Amount to resist void damage</t>
  </si>
  <si>
    <t>Weapon Damage</t>
  </si>
  <si>
    <t>WeaponDamage</t>
  </si>
  <si>
    <t>Character storage for weapon damage stat</t>
  </si>
  <si>
    <t>StatDesc_Attunement</t>
  </si>
  <si>
    <t>Primary</t>
  </si>
  <si>
    <t>StatDesc_Command</t>
  </si>
  <si>
    <t>StatDesc_Conviction</t>
  </si>
  <si>
    <t>StatDesc_Dexterity</t>
  </si>
  <si>
    <t>StatDesc_Endurance</t>
  </si>
  <si>
    <t>StatDesc_Spirit</t>
  </si>
  <si>
    <t>StatDesc_Strength</t>
  </si>
  <si>
    <t>StatDesc_Vitality</t>
  </si>
  <si>
    <t>StatDesc_Will</t>
  </si>
  <si>
    <t>Race ID</t>
  </si>
  <si>
    <t>Display Name</t>
  </si>
  <si>
    <t>Faction</t>
  </si>
  <si>
    <t>CaitSith</t>
  </si>
  <si>
    <t>Cait Sith (Arthurian)</t>
  </si>
  <si>
    <t>Arthurian</t>
  </si>
  <si>
    <t>Dvergr</t>
  </si>
  <si>
    <t>Dvergr (Viking)</t>
  </si>
  <si>
    <t>Viking</t>
  </si>
  <si>
    <t>Firbog</t>
  </si>
  <si>
    <t>Firbog (TDD)</t>
  </si>
  <si>
    <t>TDD</t>
  </si>
  <si>
    <t>Golem</t>
  </si>
  <si>
    <t>Golem (Arthurian)</t>
  </si>
  <si>
    <t>Hamadryad</t>
  </si>
  <si>
    <t>Hamadryad (TDD)</t>
  </si>
  <si>
    <t>HumanMaleA</t>
  </si>
  <si>
    <t>HumanMaleA (Arthurian)</t>
  </si>
  <si>
    <t>HumanMaleT</t>
  </si>
  <si>
    <t>HumanMaleT (TDD)</t>
  </si>
  <si>
    <t>HumanMaleV</t>
  </si>
  <si>
    <t>HumanMaleV (Viking)</t>
  </si>
  <si>
    <t>Jotnar</t>
  </si>
  <si>
    <t>Jotnar (Viking)</t>
  </si>
  <si>
    <t>Luchorpan</t>
  </si>
  <si>
    <t>Luchorpan (TDD)</t>
  </si>
  <si>
    <t>Pict</t>
  </si>
  <si>
    <t>Pict (Arthurian)</t>
  </si>
  <si>
    <t>Strm</t>
  </si>
  <si>
    <t>St'rm (Arthurian)</t>
  </si>
  <si>
    <t>Stormrider</t>
  </si>
  <si>
    <t>Stormrider (Arthurian)</t>
  </si>
  <si>
    <t>Valkyrie</t>
  </si>
  <si>
    <t>Valkyrie (Viking)</t>
  </si>
  <si>
    <t>CU Character Stat Calculator</t>
  </si>
  <si>
    <t>Race</t>
  </si>
  <si>
    <t>Points Allocated</t>
  </si>
  <si>
    <t>Points Remaining</t>
  </si>
  <si>
    <t>Stat</t>
  </si>
  <si>
    <t>Base</t>
  </si>
  <si>
    <t>Allocated</t>
  </si>
  <si>
    <t>Racial Bonus</t>
  </si>
  <si>
    <t>Total</t>
  </si>
  <si>
    <t>Stat Name</t>
  </si>
  <si>
    <t>Abbreviated Formula</t>
  </si>
  <si>
    <t>Value</t>
  </si>
  <si>
    <t>Size Modifier</t>
  </si>
  <si>
    <t>SizeModifier</t>
  </si>
  <si>
    <t>=</t>
  </si>
  <si>
    <t>StatName_ControlRegenViking</t>
  </si>
  <si>
    <t>ControlRegenViking</t>
  </si>
  <si>
    <t>StatName_Weaponsmithing</t>
  </si>
  <si>
    <t>WeaponsmithingSkill</t>
  </si>
  <si>
    <t>StatName_ControlRegenTDD</t>
  </si>
  <si>
    <t>ControlRegenTDD</t>
  </si>
  <si>
    <t>StatName_Leatherworking</t>
  </si>
  <si>
    <t>LeatherworkingSkill</t>
  </si>
  <si>
    <t>StatName_Woodworking</t>
  </si>
  <si>
    <t>WoodworkingSkill</t>
  </si>
  <si>
    <t>StatName_ControlMax</t>
  </si>
  <si>
    <t>ControlMax</t>
  </si>
  <si>
    <t>StatName_ItemMaxHP</t>
  </si>
  <si>
    <t>ItemMaxHP</t>
  </si>
  <si>
    <t>StatName_Quality</t>
  </si>
  <si>
    <t>Quality</t>
  </si>
  <si>
    <t>StatName_Tailoring</t>
  </si>
  <si>
    <t>TailoringSkill</t>
  </si>
  <si>
    <t>StatName_MaxRepairPoints</t>
  </si>
  <si>
    <t>MaxRepairPoints</t>
  </si>
  <si>
    <t>StatName_Herbalism</t>
  </si>
  <si>
    <t>HerbalismSkill</t>
  </si>
  <si>
    <t>StatName_StartingYield</t>
  </si>
  <si>
    <t>StartingYield</t>
  </si>
  <si>
    <t>StatName_ItemHPRegen</t>
  </si>
  <si>
    <t>ItemHPRegen</t>
  </si>
  <si>
    <t>Ability Recovery Speed</t>
  </si>
  <si>
    <t>AbilityRecoverySpeed</t>
  </si>
  <si>
    <t>StatName_Cooking</t>
  </si>
  <si>
    <t>CookingSkill</t>
  </si>
  <si>
    <t>Ability Preparation Speed</t>
  </si>
  <si>
    <t>AbilityPreparationSpeed</t>
  </si>
  <si>
    <t>StatName_Jewelsmithing</t>
  </si>
  <si>
    <t>JewelsmithingSkill</t>
  </si>
  <si>
    <t>StatName_SigilCastCountMax</t>
  </si>
  <si>
    <t>SigilCastCountMax</t>
  </si>
  <si>
    <t>StatName_YieldMax</t>
  </si>
  <si>
    <t>YieldMax</t>
  </si>
  <si>
    <t>StatName_Hunting</t>
  </si>
  <si>
    <t>HuntingSkill</t>
  </si>
  <si>
    <t>StatName_Logging</t>
  </si>
  <si>
    <t>LoggingSkill</t>
  </si>
  <si>
    <t>StatName_Scale</t>
  </si>
  <si>
    <t>Scale</t>
  </si>
  <si>
    <t>StatName_Mining</t>
  </si>
  <si>
    <t>MiningSkill</t>
  </si>
  <si>
    <t>StatName_Armorsmithing</t>
  </si>
  <si>
    <t>ArmorsmithingSkill</t>
  </si>
  <si>
    <t>StatName_Sawing</t>
  </si>
  <si>
    <t>SawingSkill</t>
  </si>
  <si>
    <t>Horizontal Jump Speed</t>
  </si>
  <si>
    <t>HorizontalJumpSpeed</t>
  </si>
  <si>
    <t>StatName_XP</t>
  </si>
  <si>
    <t>XP</t>
  </si>
  <si>
    <t>StatName_BaseValue</t>
  </si>
  <si>
    <t>BaseValue</t>
  </si>
  <si>
    <t>StatName_ScaleZ</t>
  </si>
  <si>
    <t>ScaleZ</t>
  </si>
  <si>
    <t>StatName_ControlRegenArthurian</t>
  </si>
  <si>
    <t>ControlRegenArthurian</t>
  </si>
  <si>
    <t>StatName_UnitHealth</t>
  </si>
  <si>
    <t>UnitHealth</t>
  </si>
  <si>
    <t>StatName_Tanning</t>
  </si>
  <si>
    <t>TanningSkill</t>
  </si>
  <si>
    <t>StatName_YawSpeedDegPerSec</t>
  </si>
  <si>
    <t>YawSpeedDegPerSec</t>
  </si>
  <si>
    <t>StatName_Alchemy</t>
  </si>
  <si>
    <t>AlchemySkill</t>
  </si>
  <si>
    <t>Mass</t>
  </si>
  <si>
    <t>Secondary</t>
  </si>
  <si>
    <t>StatName_MinLevel</t>
  </si>
  <si>
    <t>MinLevel</t>
  </si>
  <si>
    <t>StatName_ScaleY</t>
  </si>
  <si>
    <t>ScaleY</t>
  </si>
  <si>
    <t>StatName_Gemcutting</t>
  </si>
  <si>
    <t>GemcuttingSkill</t>
  </si>
  <si>
    <t>StatName_Weaving</t>
  </si>
  <si>
    <t>WeavingSkill</t>
  </si>
  <si>
    <t>StatName_PitchSpeedDegPerSec</t>
  </si>
  <si>
    <t>PitchSpeedDegPerSec</t>
  </si>
  <si>
    <t>StatName_Smelting</t>
  </si>
  <si>
    <t>SmeltingSkill</t>
  </si>
  <si>
    <t>StatName_Artificing</t>
  </si>
  <si>
    <t>ArtificingSkill</t>
  </si>
  <si>
    <t>StatName_Prospecting</t>
  </si>
  <si>
    <t>ProspectingSkill</t>
  </si>
  <si>
    <t>StatName_ScaleX</t>
  </si>
  <si>
    <t>ScaleX</t>
  </si>
  <si>
    <t>StatName_Enchanting</t>
  </si>
  <si>
    <t>EnchantingSkill</t>
  </si>
  <si>
    <t>StatName_Fishing</t>
  </si>
  <si>
    <t>FishingSkill</t>
  </si>
  <si>
    <t>StatName_MaxCraftingJobs</t>
  </si>
  <si>
    <t>MaxCraftingJobs</t>
  </si>
  <si>
    <t>Knockback Resistance</t>
  </si>
  <si>
    <t>KnockbackResistance</t>
  </si>
  <si>
    <t>StatName_MaxDurability</t>
  </si>
  <si>
    <t>MaxDurability</t>
  </si>
  <si>
    <t>CU Character Stat Calculator (with Gear)</t>
  </si>
  <si>
    <t>Gear Bonus</t>
  </si>
  <si>
    <t>Gear Slot Bonuses</t>
  </si>
  <si>
    <t>Gear Slot</t>
  </si>
  <si>
    <t>Item Name</t>
  </si>
  <si>
    <t>Head</t>
  </si>
  <si>
    <t>Chest</t>
  </si>
  <si>
    <t>Hands</t>
  </si>
  <si>
    <t>Legs</t>
  </si>
  <si>
    <t>Feet</t>
  </si>
  <si>
    <t>Back</t>
  </si>
  <si>
    <t>Primary Weapon</t>
  </si>
  <si>
    <t>Secondary Weapon</t>
  </si>
  <si>
    <t>Waist</t>
  </si>
  <si>
    <t>Neck</t>
  </si>
  <si>
    <t>Ring 1</t>
  </si>
  <si>
    <t>Ring 2</t>
  </si>
  <si>
    <t>StatName_Attunement</t>
  </si>
  <si>
    <t>StatName_Command</t>
  </si>
  <si>
    <t>StatName_Conviction</t>
  </si>
  <si>
    <t>StatName_Dexterity</t>
  </si>
  <si>
    <t>StatName_Endurance</t>
  </si>
  <si>
    <t>StatName_Spirit</t>
  </si>
  <si>
    <t>StatName_Strength</t>
  </si>
  <si>
    <t>StatName_Vitality</t>
  </si>
  <si>
    <t>StatName_Will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</si>
</sst>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1F4E79"/>
      <name val="Arial"/>
      <family val="2"/>
    </font>
    <font>
      <b/>
      <sz val="10"/>
      <color rgb="FF1F4E79"/>
      <name val="Arial"/>
      <family val="2"/>
    </font>
    <font>
      <sz val="9"/>
      <color rgb="FF1F4E79"/>
      <name val="Courier New"/>
      <family val="3"/>
    </font>
    <font>
      <sz val="9"/>
      <color rgb="FF375623"/>
      <name val="Courier New"/>
      <family val="3"/>
    </font>
    <font>
      <sz val="10"/>
      <color rgb="FF595959"/>
      <name val="Arial"/>
      <family val="2"/>
    </font>
    <font>
      <b/>
      <sz val="10"/>
      <color rgb="FF595959"/>
      <name val="Arial"/>
      <family val="2"/>
    </font>
    <font>
      <sz val="9"/>
      <color rgb="FF595959"/>
      <name val="Courier New"/>
      <family val="3"/>
    </font>
    <font>
      <sz val="10"/>
      <color rgb="FF375623"/>
      <name val="Arial"/>
      <family val="2"/>
    </font>
    <font>
      <b/>
      <sz val="10"/>
      <color rgb="FF375623"/>
      <name val="Arial"/>
      <family val="2"/>
    </font>
    <font>
      <b/>
      <sz val="14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rgb="FF7F6000"/>
      <name val="Arial"/>
      <family val="2"/>
    </font>
    <font>
      <sz val="9"/>
      <color rgb="FF7F6000"/>
      <name val="Courier New"/>
      <family val="3"/>
    </font>
    <font>
      <b/>
      <sz val="10"/>
      <color rgb="FF7F6000"/>
      <name val="Arial"/>
      <family val="2"/>
    </font>
    <font>
      <b/>
      <sz val="12"/>
      <color rgb="FFFFFFFF"/>
      <name val="Arial"/>
      <family val="2"/>
    </font>
    <font>
      <b/>
      <sz val="14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002060"/>
        <bgColor indexed="64"/>
      </patternFill>
    </fill>
    <fill>
      <patternFill patternType="solid">
        <fgColor rgb="FF2E75B6"/>
      </patternFill>
    </fill>
    <fill>
      <patternFill patternType="solid">
        <fgColor rgb="FFFAFAFA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12" fillId="0" borderId="0" xfId="0" applyFont="1"/>
    <xf numFmtId="0" fontId="13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13" fillId="8" borderId="1" xfId="0" applyFont="1" applyFill="1" applyBorder="1"/>
    <xf numFmtId="0" fontId="12" fillId="7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9" fillId="7" borderId="1" xfId="0" applyFont="1" applyFill="1" applyBorder="1"/>
    <xf numFmtId="0" fontId="5" fillId="7" borderId="1" xfId="0" applyFont="1" applyFill="1" applyBorder="1"/>
    <xf numFmtId="0" fontId="10" fillId="7" borderId="1" xfId="0" applyFont="1" applyFill="1" applyBorder="1" applyAlignment="1">
      <alignment horizontal="right" vertical="center"/>
    </xf>
    <xf numFmtId="0" fontId="2" fillId="4" borderId="1" xfId="0" applyFont="1" applyFill="1" applyBorder="1"/>
    <xf numFmtId="0" fontId="4" fillId="4" borderId="1" xfId="0" applyFont="1" applyFill="1" applyBorder="1"/>
    <xf numFmtId="0" fontId="3" fillId="4" borderId="1" xfId="0" applyFont="1" applyFill="1" applyBorder="1" applyAlignment="1">
      <alignment horizontal="right" vertical="center"/>
    </xf>
    <xf numFmtId="0" fontId="6" fillId="6" borderId="1" xfId="0" applyFont="1" applyFill="1" applyBorder="1"/>
    <xf numFmtId="0" fontId="8" fillId="6" borderId="1" xfId="0" applyFont="1" applyFill="1" applyBorder="1"/>
    <xf numFmtId="0" fontId="7" fillId="6" borderId="1" xfId="0" applyFont="1" applyFill="1" applyBorder="1" applyAlignment="1">
      <alignment horizontal="right" vertical="center"/>
    </xf>
    <xf numFmtId="0" fontId="14" fillId="8" borderId="1" xfId="0" applyFont="1" applyFill="1" applyBorder="1"/>
    <xf numFmtId="0" fontId="15" fillId="8" borderId="1" xfId="0" applyFont="1" applyFill="1" applyBorder="1"/>
    <xf numFmtId="0" fontId="16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right" vertical="center"/>
    </xf>
    <xf numFmtId="0" fontId="13" fillId="5" borderId="1" xfId="0" applyFont="1" applyFill="1" applyBorder="1"/>
    <xf numFmtId="0" fontId="1" fillId="3" borderId="1" xfId="0" applyFont="1" applyFill="1" applyBorder="1"/>
    <xf numFmtId="0" fontId="13" fillId="6" borderId="1" xfId="0" applyFont="1" applyFill="1" applyBorder="1"/>
    <xf numFmtId="0" fontId="0" fillId="9" borderId="1" xfId="0" applyFill="1" applyBorder="1"/>
    <xf numFmtId="0" fontId="13" fillId="10" borderId="1" xfId="0" applyFont="1" applyFill="1" applyBorder="1"/>
    <xf numFmtId="0" fontId="18" fillId="11" borderId="4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 wrapText="1"/>
    </xf>
    <xf numFmtId="0" fontId="19" fillId="12" borderId="10" xfId="0" applyFont="1" applyFill="1" applyBorder="1" applyAlignment="1">
      <alignment horizontal="center" vertical="center" wrapText="1"/>
    </xf>
    <xf numFmtId="0" fontId="20" fillId="13" borderId="10" xfId="0" applyFont="1" applyFill="1" applyBorder="1" applyAlignment="1">
      <alignment horizontal="right" vertical="center"/>
    </xf>
    <xf numFmtId="0" fontId="21" fillId="0" borderId="2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right" vertical="center"/>
    </xf>
    <xf numFmtId="0" fontId="22" fillId="0" borderId="3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right" vertical="center"/>
    </xf>
    <xf numFmtId="0" fontId="22" fillId="0" borderId="9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0" borderId="0" xfId="0"/>
    <xf numFmtId="0" fontId="17" fillId="3" borderId="0" xfId="0" applyFont="1" applyFill="1"/>
    <xf numFmtId="0" fontId="21" fillId="14" borderId="1" xfId="0" applyFont="1" applyFill="1" applyBorder="1" applyAlignment="1">
      <alignment horizontal="left" vertical="center" wrapText="1"/>
    </xf>
    <xf numFmtId="0" fontId="21" fillId="15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left" vertical="center" wrapText="1"/>
    </xf>
    <xf numFmtId="0" fontId="21" fillId="1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48">
    <dxf>
      <font>
        <b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 textRotation="0" wrapText="1" indent="0" justifyLastLine="0" shrinkToFit="0" readingOrder="0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 textRotation="0" wrapText="1" indent="0" justifyLastLine="0" shrinkToFit="0" readingOrder="0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/>
        <strike val="0"/>
        <condense val="0"/>
        <extend val="0"/>
        <outline val="0"/>
        <shadow val="0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  <dxf>
      <font>
        <b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 textRotation="0" wrapText="1" indent="0" justifyLastLine="0" shrinkToFit="0" readingOrder="0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 textRotation="0" wrapText="1" indent="0" justifyLastLine="0" shrinkToFit="0" readingOrder="0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CCCCCC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S115" totalsRowShown="0" headerRowDxfId="47" dataDxfId="45" headerRowBorderDxfId="46" tableBorderDxfId="44" totalsRowBorderDxfId="43">
  <autoFilter ref="A1:S115" xr:uid="{00000000-0009-0000-0100-000001000000}"/>
  <tableColumns count="19">
    <tableColumn id="1" xr3:uid="{00000000-0010-0000-0000-000001000000}" name="Name" dataDxfId="42"/>
    <tableColumn id="2" xr3:uid="{00000000-0010-0000-0000-000002000000}" name="Stat ID" dataDxfId="41"/>
    <tableColumn id="3" xr3:uid="{00000000-0010-0000-0000-000003000000}" name="Description" dataDxfId="40"/>
    <tableColumn id="4" xr3:uid="{00000000-0010-0000-0000-000004000000}" name="Formula (abbreviated)" dataDxfId="39"/>
    <tableColumn id="5" xr3:uid="{00000000-0010-0000-0000-000005000000}" name="Base Value (0)" dataDxfId="38"/>
    <tableColumn id="6" xr3:uid="{00000000-0010-0000-0000-000006000000}" name="Primary Stat Dependencies" dataDxfId="37"/>
    <tableColumn id="7" xr3:uid="{00000000-0010-0000-0000-000007000000}" name="Direct Stat Dependencies" dataDxfId="36"/>
    <tableColumn id="8" xr3:uid="{00000000-0010-0000-0000-000008000000}" name="Full Stat Dependency Chain" dataDxfId="35"/>
    <tableColumn id="9" xr3:uid="{00000000-0010-0000-0000-000009000000}" name="Base (10)" dataDxfId="34"/>
    <tableColumn id="10" xr3:uid="{00000000-0010-0000-0000-00000A000000}" name="Human (12)" dataDxfId="33"/>
    <tableColumn id="11" xr3:uid="{00000000-0010-0000-0000-00000B000000}" name="Minor Racial (13)" dataDxfId="32"/>
    <tableColumn id="12" xr3:uid="{00000000-0010-0000-0000-00000C000000}" name="Major Racial (14)" dataDxfId="31"/>
    <tableColumn id="13" xr3:uid="{00000000-0010-0000-0000-00000D000000}" name="Max Base (50)" dataDxfId="30"/>
    <tableColumn id="14" xr3:uid="{00000000-0010-0000-0000-00000E000000}" name="Max Human (52)" dataDxfId="29"/>
    <tableColumn id="15" xr3:uid="{00000000-0010-0000-0000-00000F000000}" name="Max Minor Racial (53)" dataDxfId="28"/>
    <tableColumn id="16" xr3:uid="{00000000-0010-0000-0000-000010000000}" name="Max Major Racial (54)" dataDxfId="27"/>
    <tableColumn id="17" xr3:uid="{00000000-0010-0000-0000-000011000000}" name="Show at Char Creation" dataDxfId="26"/>
    <tableColumn id="18" xr3:uid="{00000000-0010-0000-0000-000012000000}" name="Formula (raw)" dataDxfId="25"/>
    <tableColumn id="19" xr3:uid="{00000000-0010-0000-0000-000013000000}" name="Typ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2ECE26-28BC-4DE4-A171-6C49A55AD57A}" name="Table33" displayName="Table33" ref="A1:S115" totalsRowShown="0" headerRowDxfId="23" dataDxfId="22" headerRowBorderDxfId="20" tableBorderDxfId="21" totalsRowBorderDxfId="19">
  <autoFilter ref="A1:S115" xr:uid="{00000000-0009-0000-0100-000001000000}"/>
  <tableColumns count="19">
    <tableColumn id="1" xr3:uid="{591F501A-4ED8-4DED-98F9-BDE8B07EDBDE}" name="Name" dataDxfId="18"/>
    <tableColumn id="2" xr3:uid="{3099A364-AC9D-4047-A09B-6DAC47361DCE}" name="Stat ID" dataDxfId="17"/>
    <tableColumn id="3" xr3:uid="{8FA8B28C-51ED-4740-B9A7-1C86522FC8DF}" name="Description" dataDxfId="16"/>
    <tableColumn id="4" xr3:uid="{80D88FB6-1B90-4195-AA3B-7789BA0D5958}" name="Formula (abbreviated)" dataDxfId="15"/>
    <tableColumn id="5" xr3:uid="{4A3316C1-CFCD-45F4-AD35-3B0A4008DD05}" name="Base Value (0)" dataDxfId="14"/>
    <tableColumn id="6" xr3:uid="{AC8BE12C-7461-439D-8972-52D1EC111D8B}" name="Primary Stat Dependencies" dataDxfId="13"/>
    <tableColumn id="7" xr3:uid="{C3920B3B-B3AF-448B-90D3-91F6A074FEA1}" name="Direct Stat Dependencies" dataDxfId="12"/>
    <tableColumn id="8" xr3:uid="{FD230B07-F6C3-443B-BA14-3726180A6EE3}" name="Full Stat Dependency Chain" dataDxfId="11"/>
    <tableColumn id="9" xr3:uid="{4D0AA4CA-2F93-44FE-8CC5-FD7832B120C5}" name="Base (10)" dataDxfId="10"/>
    <tableColumn id="10" xr3:uid="{1A1A057A-A4CA-40B4-AD74-EC2CC808E002}" name="Human (12)" dataDxfId="9"/>
    <tableColumn id="11" xr3:uid="{73BBE8DD-1D1E-4B3F-873B-1C3C3EBF1A4B}" name="Minor Racial (13)" dataDxfId="8"/>
    <tableColumn id="12" xr3:uid="{D7D1F638-E9DE-4C4D-B508-04B607C0CFDD}" name="Major Racial (14)" dataDxfId="7"/>
    <tableColumn id="13" xr3:uid="{CE4BCE29-7F61-4B96-82DB-F7F88079A923}" name="Max Base (50)" dataDxfId="6"/>
    <tableColumn id="14" xr3:uid="{79AAF819-C7EE-4009-A453-D74C9D3CA381}" name="Max Human (52)" dataDxfId="5"/>
    <tableColumn id="15" xr3:uid="{9AF07C89-7383-42F1-8B7B-2ED0D22A3470}" name="Max Minor Racial (53)" dataDxfId="4"/>
    <tableColumn id="16" xr3:uid="{612BF617-486E-42C7-9DE8-525BAB71DE40}" name="Max Major Racial (54)" dataDxfId="3"/>
    <tableColumn id="17" xr3:uid="{4644E941-6A27-4D13-B3FF-6FFB8DAD7816}" name="Show at Char Creation" dataDxfId="2"/>
    <tableColumn id="18" xr3:uid="{824A1D28-6A55-42CF-8C87-404CFB292CB6}" name="Formula (raw)" dataDxfId="1"/>
    <tableColumn id="19" xr3:uid="{8969CB9F-04ED-419C-9BA2-B326225B9737}" name="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30" customWidth="1"/>
    <col min="2" max="2" width="32" customWidth="1"/>
    <col min="3" max="4" width="50" customWidth="1"/>
    <col min="5" max="5" width="18.42578125" bestFit="1" customWidth="1"/>
    <col min="6" max="6" width="22.28515625" bestFit="1" customWidth="1"/>
    <col min="7" max="7" width="40" customWidth="1"/>
    <col min="8" max="8" width="60" customWidth="1"/>
    <col min="9" max="10" width="14" customWidth="1"/>
    <col min="11" max="12" width="18" customWidth="1"/>
    <col min="13" max="13" width="15.42578125" customWidth="1"/>
    <col min="14" max="14" width="17.5703125" customWidth="1"/>
    <col min="15" max="15" width="22.28515625" customWidth="1"/>
    <col min="16" max="16" width="22.140625" customWidth="1"/>
    <col min="17" max="17" width="22.5703125" customWidth="1"/>
    <col min="18" max="18" width="80" customWidth="1"/>
    <col min="19" max="19" width="12" customWidth="1"/>
  </cols>
  <sheetData>
    <row r="1" spans="1:19" ht="42" customHeight="1" x14ac:dyDescent="0.25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4" t="s">
        <v>18</v>
      </c>
    </row>
    <row r="2" spans="1:19" ht="20.100000000000001" customHeight="1" x14ac:dyDescent="0.25">
      <c r="A2" s="37" t="s">
        <v>19</v>
      </c>
      <c r="B2" s="38" t="s">
        <v>20</v>
      </c>
      <c r="C2" s="39" t="s">
        <v>21</v>
      </c>
      <c r="D2" s="39" t="s">
        <v>22</v>
      </c>
      <c r="E2" s="38">
        <v>1</v>
      </c>
      <c r="F2" s="38"/>
      <c r="G2" s="39" t="s">
        <v>23</v>
      </c>
      <c r="H2" s="39" t="s">
        <v>23</v>
      </c>
      <c r="I2" s="40">
        <v>1</v>
      </c>
      <c r="J2" s="40">
        <v>1</v>
      </c>
      <c r="K2" s="40">
        <v>1</v>
      </c>
      <c r="L2" s="40">
        <v>1</v>
      </c>
      <c r="M2" s="40">
        <v>1</v>
      </c>
      <c r="N2" s="40">
        <v>1</v>
      </c>
      <c r="O2" s="40">
        <v>1</v>
      </c>
      <c r="P2" s="40">
        <v>1</v>
      </c>
      <c r="Q2" s="38" t="s">
        <v>24</v>
      </c>
      <c r="R2" s="39" t="s">
        <v>25</v>
      </c>
      <c r="S2" s="41" t="s">
        <v>26</v>
      </c>
    </row>
    <row r="3" spans="1:19" ht="20.100000000000001" customHeight="1" x14ac:dyDescent="0.25">
      <c r="A3" s="37" t="s">
        <v>27</v>
      </c>
      <c r="B3" s="38" t="s">
        <v>28</v>
      </c>
      <c r="C3" s="39" t="s">
        <v>29</v>
      </c>
      <c r="D3" s="39" t="s">
        <v>30</v>
      </c>
      <c r="E3" s="38">
        <v>10</v>
      </c>
      <c r="F3" s="38"/>
      <c r="G3" s="39"/>
      <c r="H3" s="39"/>
      <c r="I3" s="40">
        <v>10</v>
      </c>
      <c r="J3" s="40">
        <v>10</v>
      </c>
      <c r="K3" s="40">
        <v>10</v>
      </c>
      <c r="L3" s="40">
        <v>10</v>
      </c>
      <c r="M3" s="40">
        <v>10</v>
      </c>
      <c r="N3" s="40">
        <v>10</v>
      </c>
      <c r="O3" s="40">
        <v>10</v>
      </c>
      <c r="P3" s="40">
        <v>10</v>
      </c>
      <c r="Q3" s="38" t="s">
        <v>24</v>
      </c>
      <c r="R3" s="39" t="s">
        <v>30</v>
      </c>
      <c r="S3" s="41" t="s">
        <v>26</v>
      </c>
    </row>
    <row r="4" spans="1:19" ht="30" customHeight="1" x14ac:dyDescent="0.25">
      <c r="A4" s="37" t="s">
        <v>31</v>
      </c>
      <c r="B4" s="38" t="s">
        <v>32</v>
      </c>
      <c r="C4" s="39" t="s">
        <v>33</v>
      </c>
      <c r="D4" s="39" t="s">
        <v>34</v>
      </c>
      <c r="E4" s="38">
        <v>33.333333000000003</v>
      </c>
      <c r="F4" s="38" t="s">
        <v>35</v>
      </c>
      <c r="G4" s="39" t="s">
        <v>36</v>
      </c>
      <c r="H4" s="39" t="s">
        <v>37</v>
      </c>
      <c r="I4" s="40">
        <v>48</v>
      </c>
      <c r="J4" s="40">
        <v>51.253332999999998</v>
      </c>
      <c r="K4" s="40">
        <v>52.92</v>
      </c>
      <c r="L4" s="40">
        <v>54.613332999999997</v>
      </c>
      <c r="M4" s="40">
        <v>133.33333300000001</v>
      </c>
      <c r="N4" s="40">
        <v>138.72</v>
      </c>
      <c r="O4" s="40">
        <v>141.45333299999999</v>
      </c>
      <c r="P4" s="40">
        <v>144.21333300000001</v>
      </c>
      <c r="Q4" s="38" t="s">
        <v>24</v>
      </c>
      <c r="R4" s="39" t="s">
        <v>38</v>
      </c>
      <c r="S4" s="41" t="s">
        <v>26</v>
      </c>
    </row>
    <row r="5" spans="1:19" ht="20.100000000000001" customHeight="1" x14ac:dyDescent="0.25">
      <c r="A5" s="37" t="s">
        <v>39</v>
      </c>
      <c r="B5" s="38" t="s">
        <v>40</v>
      </c>
      <c r="C5" s="39" t="s">
        <v>41</v>
      </c>
      <c r="D5" s="39" t="s">
        <v>42</v>
      </c>
      <c r="E5" s="38">
        <v>10</v>
      </c>
      <c r="F5" s="38" t="s">
        <v>43</v>
      </c>
      <c r="G5" s="39" t="s">
        <v>44</v>
      </c>
      <c r="H5" s="39" t="s">
        <v>45</v>
      </c>
      <c r="I5" s="40">
        <v>14.4</v>
      </c>
      <c r="J5" s="40">
        <v>15.375999999999999</v>
      </c>
      <c r="K5" s="40">
        <v>15.875999999999999</v>
      </c>
      <c r="L5" s="40">
        <v>16.384</v>
      </c>
      <c r="M5" s="40">
        <v>40</v>
      </c>
      <c r="N5" s="40">
        <v>41.616</v>
      </c>
      <c r="O5" s="40">
        <v>42.436</v>
      </c>
      <c r="P5" s="40">
        <v>43.264000000000003</v>
      </c>
      <c r="Q5" s="38" t="s">
        <v>24</v>
      </c>
      <c r="R5" s="39" t="s">
        <v>46</v>
      </c>
      <c r="S5" s="41" t="s">
        <v>26</v>
      </c>
    </row>
    <row r="6" spans="1:19" ht="20.100000000000001" customHeight="1" x14ac:dyDescent="0.25">
      <c r="A6" s="37" t="s">
        <v>47</v>
      </c>
      <c r="B6" s="38" t="s">
        <v>48</v>
      </c>
      <c r="C6" s="39" t="s">
        <v>49</v>
      </c>
      <c r="D6" s="39" t="s">
        <v>50</v>
      </c>
      <c r="E6" s="38">
        <v>5000</v>
      </c>
      <c r="F6" s="38" t="s">
        <v>35</v>
      </c>
      <c r="G6" s="39"/>
      <c r="H6" s="39"/>
      <c r="I6" s="40">
        <v>6000</v>
      </c>
      <c r="J6" s="40">
        <v>6200</v>
      </c>
      <c r="K6" s="40">
        <v>6300</v>
      </c>
      <c r="L6" s="40">
        <v>6400</v>
      </c>
      <c r="M6" s="40">
        <v>10000</v>
      </c>
      <c r="N6" s="40">
        <v>10200</v>
      </c>
      <c r="O6" s="40">
        <v>10300</v>
      </c>
      <c r="P6" s="40">
        <v>10400</v>
      </c>
      <c r="Q6" s="38" t="s">
        <v>24</v>
      </c>
      <c r="R6" s="39" t="s">
        <v>51</v>
      </c>
      <c r="S6" s="41" t="s">
        <v>26</v>
      </c>
    </row>
    <row r="7" spans="1:19" ht="20.100000000000001" customHeight="1" x14ac:dyDescent="0.25">
      <c r="A7" s="37" t="s">
        <v>52</v>
      </c>
      <c r="B7" s="38" t="s">
        <v>53</v>
      </c>
      <c r="C7" s="39" t="s">
        <v>54</v>
      </c>
      <c r="D7" s="39" t="s">
        <v>55</v>
      </c>
      <c r="E7" s="38">
        <v>5000</v>
      </c>
      <c r="F7" s="38" t="s">
        <v>43</v>
      </c>
      <c r="G7" s="39"/>
      <c r="H7" s="39"/>
      <c r="I7" s="40">
        <v>6000</v>
      </c>
      <c r="J7" s="40">
        <v>6200</v>
      </c>
      <c r="K7" s="40">
        <v>6300</v>
      </c>
      <c r="L7" s="40">
        <v>6400</v>
      </c>
      <c r="M7" s="40">
        <v>10000</v>
      </c>
      <c r="N7" s="40">
        <v>10200</v>
      </c>
      <c r="O7" s="40">
        <v>10300</v>
      </c>
      <c r="P7" s="40">
        <v>10400</v>
      </c>
      <c r="Q7" s="38" t="s">
        <v>24</v>
      </c>
      <c r="R7" s="39" t="s">
        <v>56</v>
      </c>
      <c r="S7" s="41" t="s">
        <v>26</v>
      </c>
    </row>
    <row r="8" spans="1:19" ht="20.100000000000001" customHeight="1" x14ac:dyDescent="0.25">
      <c r="A8" s="37" t="s">
        <v>57</v>
      </c>
      <c r="B8" s="38" t="s">
        <v>58</v>
      </c>
      <c r="C8" s="39" t="s">
        <v>59</v>
      </c>
      <c r="D8" s="39" t="s">
        <v>60</v>
      </c>
      <c r="E8" s="38">
        <v>1</v>
      </c>
      <c r="F8" s="38" t="s">
        <v>61</v>
      </c>
      <c r="G8" s="39"/>
      <c r="H8" s="39"/>
      <c r="I8" s="40">
        <v>1.05</v>
      </c>
      <c r="J8" s="40">
        <v>1.06</v>
      </c>
      <c r="K8" s="40">
        <v>1.0649999999999999</v>
      </c>
      <c r="L8" s="40">
        <v>1.07</v>
      </c>
      <c r="M8" s="40">
        <v>1.25</v>
      </c>
      <c r="N8" s="40">
        <v>1.26</v>
      </c>
      <c r="O8" s="40">
        <v>1.2649999999999999</v>
      </c>
      <c r="P8" s="40">
        <v>1.27</v>
      </c>
      <c r="Q8" s="38" t="s">
        <v>24</v>
      </c>
      <c r="R8" s="39" t="s">
        <v>62</v>
      </c>
      <c r="S8" s="41" t="s">
        <v>26</v>
      </c>
    </row>
    <row r="9" spans="1:19" ht="20.100000000000001" customHeight="1" x14ac:dyDescent="0.25">
      <c r="A9" s="37" t="s">
        <v>63</v>
      </c>
      <c r="B9" s="38" t="s">
        <v>64</v>
      </c>
      <c r="C9" s="39" t="s">
        <v>65</v>
      </c>
      <c r="D9" s="39" t="s">
        <v>60</v>
      </c>
      <c r="E9" s="38">
        <v>1</v>
      </c>
      <c r="F9" s="38" t="s">
        <v>61</v>
      </c>
      <c r="G9" s="39"/>
      <c r="H9" s="39"/>
      <c r="I9" s="40">
        <v>1.05</v>
      </c>
      <c r="J9" s="40">
        <v>1.06</v>
      </c>
      <c r="K9" s="40">
        <v>1.0649999999999999</v>
      </c>
      <c r="L9" s="40">
        <v>1.07</v>
      </c>
      <c r="M9" s="40">
        <v>1.25</v>
      </c>
      <c r="N9" s="40">
        <v>1.26</v>
      </c>
      <c r="O9" s="40">
        <v>1.2649999999999999</v>
      </c>
      <c r="P9" s="40">
        <v>1.27</v>
      </c>
      <c r="Q9" s="38" t="s">
        <v>24</v>
      </c>
      <c r="R9" s="39" t="s">
        <v>62</v>
      </c>
      <c r="S9" s="41" t="s">
        <v>26</v>
      </c>
    </row>
    <row r="10" spans="1:19" ht="20.100000000000001" customHeight="1" x14ac:dyDescent="0.25">
      <c r="A10" s="37" t="s">
        <v>66</v>
      </c>
      <c r="B10" s="38" t="s">
        <v>67</v>
      </c>
      <c r="C10" s="39" t="s">
        <v>68</v>
      </c>
      <c r="D10" s="39" t="s">
        <v>69</v>
      </c>
      <c r="E10" s="38">
        <v>1</v>
      </c>
      <c r="F10" s="38"/>
      <c r="G10" s="39" t="s">
        <v>70</v>
      </c>
      <c r="H10" s="39" t="s">
        <v>70</v>
      </c>
      <c r="I10" s="40">
        <v>1</v>
      </c>
      <c r="J10" s="40">
        <v>1</v>
      </c>
      <c r="K10" s="40">
        <v>1</v>
      </c>
      <c r="L10" s="40">
        <v>1</v>
      </c>
      <c r="M10" s="40">
        <v>1</v>
      </c>
      <c r="N10" s="40">
        <v>1</v>
      </c>
      <c r="O10" s="40">
        <v>1</v>
      </c>
      <c r="P10" s="40">
        <v>1</v>
      </c>
      <c r="Q10" s="38" t="s">
        <v>24</v>
      </c>
      <c r="R10" s="39" t="s">
        <v>71</v>
      </c>
      <c r="S10" s="41" t="s">
        <v>26</v>
      </c>
    </row>
    <row r="11" spans="1:19" ht="20.100000000000001" customHeight="1" x14ac:dyDescent="0.25">
      <c r="A11" s="37" t="s">
        <v>72</v>
      </c>
      <c r="B11" s="38" t="s">
        <v>73</v>
      </c>
      <c r="C11" s="39" t="s">
        <v>74</v>
      </c>
      <c r="D11" s="39" t="s">
        <v>75</v>
      </c>
      <c r="E11" s="38">
        <v>5.4945000000000001E-2</v>
      </c>
      <c r="F11" s="38"/>
      <c r="G11" s="39" t="s">
        <v>76</v>
      </c>
      <c r="H11" s="39" t="s">
        <v>76</v>
      </c>
      <c r="I11" s="40">
        <v>5.4945000000000001E-2</v>
      </c>
      <c r="J11" s="40">
        <v>5.4945000000000001E-2</v>
      </c>
      <c r="K11" s="40">
        <v>5.4945000000000001E-2</v>
      </c>
      <c r="L11" s="40">
        <v>5.4945000000000001E-2</v>
      </c>
      <c r="M11" s="40">
        <v>5.4945000000000001E-2</v>
      </c>
      <c r="N11" s="40">
        <v>5.4945000000000001E-2</v>
      </c>
      <c r="O11" s="40">
        <v>5.4945000000000001E-2</v>
      </c>
      <c r="P11" s="40">
        <v>5.4945000000000001E-2</v>
      </c>
      <c r="Q11" s="38" t="s">
        <v>24</v>
      </c>
      <c r="R11" s="39" t="s">
        <v>77</v>
      </c>
      <c r="S11" s="41" t="s">
        <v>26</v>
      </c>
    </row>
    <row r="12" spans="1:19" ht="20.100000000000001" customHeight="1" x14ac:dyDescent="0.25">
      <c r="A12" s="37" t="s">
        <v>78</v>
      </c>
      <c r="B12" s="38" t="s">
        <v>79</v>
      </c>
      <c r="C12" s="39" t="s">
        <v>80</v>
      </c>
      <c r="D12" s="39" t="s">
        <v>81</v>
      </c>
      <c r="E12" s="38">
        <v>1</v>
      </c>
      <c r="F12" s="38"/>
      <c r="G12" s="39" t="s">
        <v>82</v>
      </c>
      <c r="H12" s="39" t="s">
        <v>82</v>
      </c>
      <c r="I12" s="40">
        <v>1</v>
      </c>
      <c r="J12" s="40">
        <v>1</v>
      </c>
      <c r="K12" s="40">
        <v>1</v>
      </c>
      <c r="L12" s="40">
        <v>1</v>
      </c>
      <c r="M12" s="40">
        <v>1</v>
      </c>
      <c r="N12" s="40">
        <v>1</v>
      </c>
      <c r="O12" s="40">
        <v>1</v>
      </c>
      <c r="P12" s="40">
        <v>1</v>
      </c>
      <c r="Q12" s="38" t="s">
        <v>24</v>
      </c>
      <c r="R12" s="39" t="s">
        <v>83</v>
      </c>
      <c r="S12" s="41" t="s">
        <v>26</v>
      </c>
    </row>
    <row r="13" spans="1:19" ht="20.100000000000001" customHeight="1" x14ac:dyDescent="0.25">
      <c r="A13" s="37" t="s">
        <v>84</v>
      </c>
      <c r="B13" s="38" t="s">
        <v>85</v>
      </c>
      <c r="C13" s="39" t="s">
        <v>86</v>
      </c>
      <c r="D13" s="39" t="s">
        <v>87</v>
      </c>
      <c r="E13" s="38">
        <v>5000</v>
      </c>
      <c r="F13" s="38" t="s">
        <v>35</v>
      </c>
      <c r="G13" s="39" t="s">
        <v>36</v>
      </c>
      <c r="H13" s="39" t="s">
        <v>37</v>
      </c>
      <c r="I13" s="40">
        <v>7200</v>
      </c>
      <c r="J13" s="40">
        <v>7688</v>
      </c>
      <c r="K13" s="40">
        <v>7938</v>
      </c>
      <c r="L13" s="40">
        <v>8192</v>
      </c>
      <c r="M13" s="40">
        <v>20000</v>
      </c>
      <c r="N13" s="40">
        <v>20808</v>
      </c>
      <c r="O13" s="40">
        <v>21218</v>
      </c>
      <c r="P13" s="40">
        <v>21632</v>
      </c>
      <c r="Q13" s="38" t="s">
        <v>24</v>
      </c>
      <c r="R13" s="39" t="s">
        <v>88</v>
      </c>
      <c r="S13" s="41" t="s">
        <v>26</v>
      </c>
    </row>
    <row r="14" spans="1:19" ht="30" customHeight="1" x14ac:dyDescent="0.25">
      <c r="A14" s="37" t="s">
        <v>89</v>
      </c>
      <c r="B14" s="38" t="s">
        <v>90</v>
      </c>
      <c r="C14" s="39" t="s">
        <v>91</v>
      </c>
      <c r="D14" s="39" t="s">
        <v>92</v>
      </c>
      <c r="E14" s="38">
        <v>1</v>
      </c>
      <c r="F14" s="38" t="s">
        <v>93</v>
      </c>
      <c r="G14" s="39" t="s">
        <v>94</v>
      </c>
      <c r="H14" s="39" t="s">
        <v>94</v>
      </c>
      <c r="I14" s="40">
        <v>0.95</v>
      </c>
      <c r="J14" s="40">
        <v>0.94</v>
      </c>
      <c r="K14" s="40">
        <v>0.93500000000000005</v>
      </c>
      <c r="L14" s="40">
        <v>0.93</v>
      </c>
      <c r="M14" s="40">
        <v>0.75</v>
      </c>
      <c r="N14" s="40">
        <v>0.74</v>
      </c>
      <c r="O14" s="40">
        <v>0.73499999999999999</v>
      </c>
      <c r="P14" s="40">
        <v>0.73</v>
      </c>
      <c r="Q14" s="38" t="s">
        <v>24</v>
      </c>
      <c r="R14" s="39" t="s">
        <v>95</v>
      </c>
      <c r="S14" s="41" t="s">
        <v>26</v>
      </c>
    </row>
    <row r="15" spans="1:19" ht="20.100000000000001" customHeight="1" x14ac:dyDescent="0.25">
      <c r="A15" s="37" t="s">
        <v>94</v>
      </c>
      <c r="B15" s="38" t="s">
        <v>96</v>
      </c>
      <c r="C15" s="39" t="s">
        <v>97</v>
      </c>
      <c r="D15" s="39" t="s">
        <v>98</v>
      </c>
      <c r="E15" s="38">
        <v>0</v>
      </c>
      <c r="F15" s="38" t="s">
        <v>93</v>
      </c>
      <c r="G15" s="39"/>
      <c r="H15" s="39"/>
      <c r="I15" s="40">
        <v>0.05</v>
      </c>
      <c r="J15" s="40">
        <v>0.06</v>
      </c>
      <c r="K15" s="40">
        <v>6.5000000000000002E-2</v>
      </c>
      <c r="L15" s="40">
        <v>7.0000000000000007E-2</v>
      </c>
      <c r="M15" s="40">
        <v>0.25</v>
      </c>
      <c r="N15" s="40">
        <v>0.26</v>
      </c>
      <c r="O15" s="40">
        <v>0.26500000000000001</v>
      </c>
      <c r="P15" s="40">
        <v>0.27</v>
      </c>
      <c r="Q15" s="38" t="s">
        <v>24</v>
      </c>
      <c r="R15" s="39" t="s">
        <v>99</v>
      </c>
      <c r="S15" s="41" t="s">
        <v>26</v>
      </c>
    </row>
    <row r="16" spans="1:19" ht="20.100000000000001" customHeight="1" x14ac:dyDescent="0.25">
      <c r="A16" s="37" t="s">
        <v>100</v>
      </c>
      <c r="B16" s="38" t="s">
        <v>101</v>
      </c>
      <c r="C16" s="39" t="s">
        <v>102</v>
      </c>
      <c r="D16" s="39" t="s">
        <v>103</v>
      </c>
      <c r="E16" s="38">
        <v>5</v>
      </c>
      <c r="F16" s="38" t="s">
        <v>104</v>
      </c>
      <c r="G16" s="39"/>
      <c r="H16" s="39"/>
      <c r="I16" s="40">
        <v>12.5</v>
      </c>
      <c r="J16" s="40">
        <v>14</v>
      </c>
      <c r="K16" s="40">
        <v>14.75</v>
      </c>
      <c r="L16" s="40">
        <v>15.5</v>
      </c>
      <c r="M16" s="40">
        <v>42.5</v>
      </c>
      <c r="N16" s="40">
        <v>44</v>
      </c>
      <c r="O16" s="40">
        <v>44.75</v>
      </c>
      <c r="P16" s="40">
        <v>45.5</v>
      </c>
      <c r="Q16" s="38" t="s">
        <v>24</v>
      </c>
      <c r="R16" s="39" t="s">
        <v>105</v>
      </c>
      <c r="S16" s="41" t="s">
        <v>26</v>
      </c>
    </row>
    <row r="17" spans="1:19" ht="20.100000000000001" customHeight="1" x14ac:dyDescent="0.25">
      <c r="A17" s="37" t="s">
        <v>106</v>
      </c>
      <c r="B17" s="38" t="s">
        <v>107</v>
      </c>
      <c r="C17" s="39" t="s">
        <v>108</v>
      </c>
      <c r="D17" s="39" t="s">
        <v>109</v>
      </c>
      <c r="E17" s="38">
        <v>100</v>
      </c>
      <c r="F17" s="38"/>
      <c r="G17" s="39"/>
      <c r="H17" s="39"/>
      <c r="I17" s="40">
        <v>100</v>
      </c>
      <c r="J17" s="40">
        <v>100</v>
      </c>
      <c r="K17" s="40">
        <v>100</v>
      </c>
      <c r="L17" s="40">
        <v>100</v>
      </c>
      <c r="M17" s="40">
        <v>100</v>
      </c>
      <c r="N17" s="40">
        <v>100</v>
      </c>
      <c r="O17" s="40">
        <v>100</v>
      </c>
      <c r="P17" s="40">
        <v>100</v>
      </c>
      <c r="Q17" s="38" t="s">
        <v>24</v>
      </c>
      <c r="R17" s="39" t="s">
        <v>109</v>
      </c>
      <c r="S17" s="41" t="s">
        <v>26</v>
      </c>
    </row>
    <row r="18" spans="1:19" ht="20.100000000000001" customHeight="1" x14ac:dyDescent="0.25">
      <c r="A18" s="37" t="s">
        <v>110</v>
      </c>
      <c r="B18" s="38" t="s">
        <v>111</v>
      </c>
      <c r="C18" s="39" t="s">
        <v>112</v>
      </c>
      <c r="D18" s="39" t="s">
        <v>113</v>
      </c>
      <c r="E18" s="38">
        <v>1</v>
      </c>
      <c r="F18" s="38"/>
      <c r="G18" s="39" t="s">
        <v>114</v>
      </c>
      <c r="H18" s="39" t="s">
        <v>114</v>
      </c>
      <c r="I18" s="40">
        <v>1</v>
      </c>
      <c r="J18" s="40">
        <v>1</v>
      </c>
      <c r="K18" s="40">
        <v>1</v>
      </c>
      <c r="L18" s="40">
        <v>1</v>
      </c>
      <c r="M18" s="40">
        <v>1</v>
      </c>
      <c r="N18" s="40">
        <v>1</v>
      </c>
      <c r="O18" s="40">
        <v>1</v>
      </c>
      <c r="P18" s="40">
        <v>1</v>
      </c>
      <c r="Q18" s="38" t="s">
        <v>24</v>
      </c>
      <c r="R18" s="39" t="s">
        <v>115</v>
      </c>
      <c r="S18" s="41" t="s">
        <v>26</v>
      </c>
    </row>
    <row r="19" spans="1:19" ht="20.100000000000001" customHeight="1" x14ac:dyDescent="0.25">
      <c r="A19" s="37" t="s">
        <v>116</v>
      </c>
      <c r="B19" s="38" t="s">
        <v>117</v>
      </c>
      <c r="C19" s="39" t="s">
        <v>118</v>
      </c>
      <c r="D19" s="39" t="s">
        <v>119</v>
      </c>
      <c r="E19" s="38">
        <v>0</v>
      </c>
      <c r="F19" s="38" t="s">
        <v>43</v>
      </c>
      <c r="G19" s="39"/>
      <c r="H19" s="39"/>
      <c r="I19" s="40">
        <v>0.3</v>
      </c>
      <c r="J19" s="40">
        <v>0.36</v>
      </c>
      <c r="K19" s="40">
        <v>0.39</v>
      </c>
      <c r="L19" s="40">
        <v>0.42</v>
      </c>
      <c r="M19" s="40">
        <v>1.5</v>
      </c>
      <c r="N19" s="40">
        <v>1.56</v>
      </c>
      <c r="O19" s="40">
        <v>1.59</v>
      </c>
      <c r="P19" s="40">
        <v>1.62</v>
      </c>
      <c r="Q19" s="38" t="s">
        <v>24</v>
      </c>
      <c r="R19" s="39" t="s">
        <v>120</v>
      </c>
      <c r="S19" s="41" t="s">
        <v>26</v>
      </c>
    </row>
    <row r="20" spans="1:19" ht="20.100000000000001" customHeight="1" x14ac:dyDescent="0.25">
      <c r="A20" s="37" t="s">
        <v>121</v>
      </c>
      <c r="B20" s="38" t="s">
        <v>122</v>
      </c>
      <c r="C20" s="39" t="s">
        <v>123</v>
      </c>
      <c r="D20" s="39" t="s">
        <v>124</v>
      </c>
      <c r="E20" s="38">
        <v>1</v>
      </c>
      <c r="F20" s="38"/>
      <c r="G20" s="39" t="s">
        <v>125</v>
      </c>
      <c r="H20" s="39" t="s">
        <v>125</v>
      </c>
      <c r="I20" s="40">
        <v>1</v>
      </c>
      <c r="J20" s="40">
        <v>1</v>
      </c>
      <c r="K20" s="40">
        <v>1</v>
      </c>
      <c r="L20" s="40">
        <v>1</v>
      </c>
      <c r="M20" s="40">
        <v>1</v>
      </c>
      <c r="N20" s="40">
        <v>1</v>
      </c>
      <c r="O20" s="40">
        <v>1</v>
      </c>
      <c r="P20" s="40">
        <v>1</v>
      </c>
      <c r="Q20" s="38" t="s">
        <v>24</v>
      </c>
      <c r="R20" s="39" t="s">
        <v>126</v>
      </c>
      <c r="S20" s="41" t="s">
        <v>26</v>
      </c>
    </row>
    <row r="21" spans="1:19" ht="20.100000000000001" customHeight="1" x14ac:dyDescent="0.25">
      <c r="A21" s="37" t="s">
        <v>127</v>
      </c>
      <c r="B21" s="38" t="s">
        <v>128</v>
      </c>
      <c r="C21" s="39" t="s">
        <v>129</v>
      </c>
      <c r="D21" s="39" t="s">
        <v>130</v>
      </c>
      <c r="E21" s="38">
        <v>20</v>
      </c>
      <c r="F21" s="38"/>
      <c r="G21" s="39"/>
      <c r="H21" s="39"/>
      <c r="I21" s="40">
        <v>20</v>
      </c>
      <c r="J21" s="40">
        <v>20</v>
      </c>
      <c r="K21" s="40">
        <v>20</v>
      </c>
      <c r="L21" s="40">
        <v>20</v>
      </c>
      <c r="M21" s="40">
        <v>20</v>
      </c>
      <c r="N21" s="40">
        <v>20</v>
      </c>
      <c r="O21" s="40">
        <v>20</v>
      </c>
      <c r="P21" s="40">
        <v>20</v>
      </c>
      <c r="Q21" s="38" t="s">
        <v>24</v>
      </c>
      <c r="R21" s="39" t="s">
        <v>130</v>
      </c>
      <c r="S21" s="41" t="s">
        <v>26</v>
      </c>
    </row>
    <row r="22" spans="1:19" ht="20.100000000000001" customHeight="1" x14ac:dyDescent="0.25">
      <c r="A22" s="37" t="s">
        <v>131</v>
      </c>
      <c r="B22" s="38" t="s">
        <v>132</v>
      </c>
      <c r="C22" s="39" t="s">
        <v>133</v>
      </c>
      <c r="D22" s="39" t="s">
        <v>134</v>
      </c>
      <c r="E22" s="38">
        <v>1</v>
      </c>
      <c r="F22" s="38" t="s">
        <v>61</v>
      </c>
      <c r="G22" s="39"/>
      <c r="H22" s="39"/>
      <c r="I22" s="40">
        <v>1.1000000000000001</v>
      </c>
      <c r="J22" s="40">
        <v>1.1200000000000001</v>
      </c>
      <c r="K22" s="40">
        <v>1.1299999999999999</v>
      </c>
      <c r="L22" s="40">
        <v>1.1399999999999999</v>
      </c>
      <c r="M22" s="40">
        <v>1.5</v>
      </c>
      <c r="N22" s="40">
        <v>1.52</v>
      </c>
      <c r="O22" s="40">
        <v>1.53</v>
      </c>
      <c r="P22" s="40">
        <v>1.54</v>
      </c>
      <c r="Q22" s="38" t="s">
        <v>24</v>
      </c>
      <c r="R22" s="39" t="s">
        <v>135</v>
      </c>
      <c r="S22" s="41" t="s">
        <v>26</v>
      </c>
    </row>
    <row r="23" spans="1:19" ht="30" customHeight="1" x14ac:dyDescent="0.25">
      <c r="A23" s="37" t="s">
        <v>136</v>
      </c>
      <c r="B23" s="38" t="s">
        <v>137</v>
      </c>
      <c r="C23" s="39" t="s">
        <v>138</v>
      </c>
      <c r="D23" s="39" t="s">
        <v>139</v>
      </c>
      <c r="E23" s="38">
        <v>33.333333000000003</v>
      </c>
      <c r="F23" s="38" t="s">
        <v>35</v>
      </c>
      <c r="G23" s="39" t="s">
        <v>136</v>
      </c>
      <c r="H23" s="39" t="s">
        <v>140</v>
      </c>
      <c r="I23" s="40">
        <v>57.6</v>
      </c>
      <c r="J23" s="40">
        <v>63.554133</v>
      </c>
      <c r="K23" s="40">
        <v>66.679199999999994</v>
      </c>
      <c r="L23" s="40">
        <v>69.905067000000003</v>
      </c>
      <c r="M23" s="40">
        <v>266.66666700000002</v>
      </c>
      <c r="N23" s="40">
        <v>282.98880000000003</v>
      </c>
      <c r="O23" s="40">
        <v>291.393867</v>
      </c>
      <c r="P23" s="40">
        <v>299.96373299999999</v>
      </c>
      <c r="Q23" s="38" t="s">
        <v>24</v>
      </c>
      <c r="R23" s="39" t="s">
        <v>141</v>
      </c>
      <c r="S23" s="41" t="s">
        <v>26</v>
      </c>
    </row>
    <row r="24" spans="1:19" ht="30" customHeight="1" x14ac:dyDescent="0.25">
      <c r="A24" s="37" t="s">
        <v>136</v>
      </c>
      <c r="B24" s="38" t="s">
        <v>139</v>
      </c>
      <c r="C24" s="39" t="s">
        <v>142</v>
      </c>
      <c r="D24" s="39" t="s">
        <v>143</v>
      </c>
      <c r="E24" s="38">
        <v>33.333333000000003</v>
      </c>
      <c r="F24" s="38" t="s">
        <v>35</v>
      </c>
      <c r="G24" s="39" t="s">
        <v>144</v>
      </c>
      <c r="H24" s="39" t="s">
        <v>145</v>
      </c>
      <c r="I24" s="40">
        <v>57.6</v>
      </c>
      <c r="J24" s="40">
        <v>63.554133</v>
      </c>
      <c r="K24" s="40">
        <v>66.679199999999994</v>
      </c>
      <c r="L24" s="40">
        <v>69.905067000000003</v>
      </c>
      <c r="M24" s="40">
        <v>266.66666700000002</v>
      </c>
      <c r="N24" s="40">
        <v>282.98880000000003</v>
      </c>
      <c r="O24" s="40">
        <v>291.393867</v>
      </c>
      <c r="P24" s="40">
        <v>299.96373299999999</v>
      </c>
      <c r="Q24" s="38" t="s">
        <v>24</v>
      </c>
      <c r="R24" s="39" t="s">
        <v>146</v>
      </c>
      <c r="S24" s="41" t="s">
        <v>26</v>
      </c>
    </row>
    <row r="25" spans="1:19" ht="20.100000000000001" customHeight="1" x14ac:dyDescent="0.25">
      <c r="A25" s="37" t="s">
        <v>147</v>
      </c>
      <c r="B25" s="38" t="s">
        <v>148</v>
      </c>
      <c r="C25" s="39" t="s">
        <v>149</v>
      </c>
      <c r="D25" s="39" t="s">
        <v>150</v>
      </c>
      <c r="E25" s="38">
        <v>0</v>
      </c>
      <c r="F25" s="38" t="s">
        <v>35</v>
      </c>
      <c r="G25" s="39"/>
      <c r="H25" s="39"/>
      <c r="I25" s="40">
        <v>0.2</v>
      </c>
      <c r="J25" s="40">
        <v>0.24</v>
      </c>
      <c r="K25" s="40">
        <v>0.26</v>
      </c>
      <c r="L25" s="40">
        <v>0.28000000000000003</v>
      </c>
      <c r="M25" s="40">
        <v>1</v>
      </c>
      <c r="N25" s="40">
        <v>1.04</v>
      </c>
      <c r="O25" s="40">
        <v>1.06</v>
      </c>
      <c r="P25" s="40">
        <v>1.08</v>
      </c>
      <c r="Q25" s="38" t="s">
        <v>24</v>
      </c>
      <c r="R25" s="39" t="s">
        <v>151</v>
      </c>
      <c r="S25" s="41" t="s">
        <v>26</v>
      </c>
    </row>
    <row r="26" spans="1:19" ht="20.100000000000001" customHeight="1" x14ac:dyDescent="0.25">
      <c r="A26" s="37" t="s">
        <v>152</v>
      </c>
      <c r="B26" s="38" t="s">
        <v>153</v>
      </c>
      <c r="C26" s="39" t="s">
        <v>154</v>
      </c>
      <c r="D26" s="39" t="s">
        <v>155</v>
      </c>
      <c r="E26" s="38">
        <v>1</v>
      </c>
      <c r="F26" s="38"/>
      <c r="G26" s="39" t="s">
        <v>156</v>
      </c>
      <c r="H26" s="39" t="s">
        <v>156</v>
      </c>
      <c r="I26" s="40">
        <v>1</v>
      </c>
      <c r="J26" s="40">
        <v>1</v>
      </c>
      <c r="K26" s="40">
        <v>1</v>
      </c>
      <c r="L26" s="40">
        <v>1</v>
      </c>
      <c r="M26" s="40">
        <v>1</v>
      </c>
      <c r="N26" s="40">
        <v>1</v>
      </c>
      <c r="O26" s="40">
        <v>1</v>
      </c>
      <c r="P26" s="40">
        <v>1</v>
      </c>
      <c r="Q26" s="38" t="s">
        <v>24</v>
      </c>
      <c r="R26" s="39" t="s">
        <v>157</v>
      </c>
      <c r="S26" s="41" t="s">
        <v>26</v>
      </c>
    </row>
    <row r="27" spans="1:19" ht="20.100000000000001" customHeight="1" x14ac:dyDescent="0.25">
      <c r="A27" s="37" t="s">
        <v>158</v>
      </c>
      <c r="B27" s="38" t="s">
        <v>159</v>
      </c>
      <c r="C27" s="39" t="s">
        <v>160</v>
      </c>
      <c r="D27" s="39" t="s">
        <v>161</v>
      </c>
      <c r="E27" s="38">
        <v>1</v>
      </c>
      <c r="F27" s="38"/>
      <c r="G27" s="39" t="s">
        <v>162</v>
      </c>
      <c r="H27" s="39" t="s">
        <v>162</v>
      </c>
      <c r="I27" s="40">
        <v>1</v>
      </c>
      <c r="J27" s="40">
        <v>1</v>
      </c>
      <c r="K27" s="40">
        <v>1</v>
      </c>
      <c r="L27" s="40">
        <v>1</v>
      </c>
      <c r="M27" s="40">
        <v>1</v>
      </c>
      <c r="N27" s="40">
        <v>1</v>
      </c>
      <c r="O27" s="40">
        <v>1</v>
      </c>
      <c r="P27" s="40">
        <v>1</v>
      </c>
      <c r="Q27" s="38" t="s">
        <v>24</v>
      </c>
      <c r="R27" s="39" t="s">
        <v>163</v>
      </c>
      <c r="S27" s="41" t="s">
        <v>26</v>
      </c>
    </row>
    <row r="28" spans="1:19" ht="20.100000000000001" customHeight="1" x14ac:dyDescent="0.25">
      <c r="A28" s="37" t="s">
        <v>164</v>
      </c>
      <c r="B28" s="38" t="s">
        <v>165</v>
      </c>
      <c r="C28" s="39" t="s">
        <v>166</v>
      </c>
      <c r="D28" s="39" t="s">
        <v>167</v>
      </c>
      <c r="E28" s="38">
        <v>0</v>
      </c>
      <c r="F28" s="38" t="s">
        <v>43</v>
      </c>
      <c r="G28" s="39"/>
      <c r="H28" s="39"/>
      <c r="I28" s="40">
        <v>0.2</v>
      </c>
      <c r="J28" s="40">
        <v>0.24</v>
      </c>
      <c r="K28" s="40">
        <v>0.26</v>
      </c>
      <c r="L28" s="40">
        <v>0.28000000000000003</v>
      </c>
      <c r="M28" s="40">
        <v>1</v>
      </c>
      <c r="N28" s="40">
        <v>1.04</v>
      </c>
      <c r="O28" s="40">
        <v>1.06</v>
      </c>
      <c r="P28" s="40">
        <v>1.08</v>
      </c>
      <c r="Q28" s="38" t="s">
        <v>24</v>
      </c>
      <c r="R28" s="39" t="s">
        <v>168</v>
      </c>
      <c r="S28" s="41" t="s">
        <v>26</v>
      </c>
    </row>
    <row r="29" spans="1:19" ht="20.100000000000001" customHeight="1" x14ac:dyDescent="0.25">
      <c r="A29" s="37" t="s">
        <v>169</v>
      </c>
      <c r="B29" s="38" t="s">
        <v>170</v>
      </c>
      <c r="C29" s="39" t="s">
        <v>171</v>
      </c>
      <c r="D29" s="39" t="s">
        <v>172</v>
      </c>
      <c r="E29" s="38">
        <v>7500</v>
      </c>
      <c r="F29" s="38" t="s">
        <v>35</v>
      </c>
      <c r="G29" s="39" t="s">
        <v>173</v>
      </c>
      <c r="H29" s="39" t="s">
        <v>174</v>
      </c>
      <c r="I29" s="40">
        <v>10800</v>
      </c>
      <c r="J29" s="40">
        <v>11532</v>
      </c>
      <c r="K29" s="40">
        <v>11907</v>
      </c>
      <c r="L29" s="40">
        <v>12288</v>
      </c>
      <c r="M29" s="40">
        <v>30000</v>
      </c>
      <c r="N29" s="40">
        <v>31212</v>
      </c>
      <c r="O29" s="40">
        <v>31827</v>
      </c>
      <c r="P29" s="40">
        <v>32448</v>
      </c>
      <c r="Q29" s="38" t="s">
        <v>24</v>
      </c>
      <c r="R29" s="39" t="s">
        <v>175</v>
      </c>
      <c r="S29" s="41" t="s">
        <v>26</v>
      </c>
    </row>
    <row r="30" spans="1:19" ht="30" customHeight="1" x14ac:dyDescent="0.25">
      <c r="A30" s="37" t="s">
        <v>36</v>
      </c>
      <c r="B30" s="38" t="s">
        <v>87</v>
      </c>
      <c r="C30" s="39" t="s">
        <v>176</v>
      </c>
      <c r="D30" s="39" t="s">
        <v>177</v>
      </c>
      <c r="E30" s="38">
        <v>5000</v>
      </c>
      <c r="F30" s="38" t="s">
        <v>35</v>
      </c>
      <c r="G30" s="39" t="s">
        <v>178</v>
      </c>
      <c r="H30" s="39" t="s">
        <v>178</v>
      </c>
      <c r="I30" s="40">
        <v>7200</v>
      </c>
      <c r="J30" s="40">
        <v>7688</v>
      </c>
      <c r="K30" s="40">
        <v>7938</v>
      </c>
      <c r="L30" s="40">
        <v>8192</v>
      </c>
      <c r="M30" s="40">
        <v>20000</v>
      </c>
      <c r="N30" s="40">
        <v>20808</v>
      </c>
      <c r="O30" s="40">
        <v>21218</v>
      </c>
      <c r="P30" s="40">
        <v>21632</v>
      </c>
      <c r="Q30" s="38" t="s">
        <v>24</v>
      </c>
      <c r="R30" s="39" t="s">
        <v>179</v>
      </c>
      <c r="S30" s="41" t="s">
        <v>26</v>
      </c>
    </row>
    <row r="31" spans="1:19" ht="30" customHeight="1" x14ac:dyDescent="0.25">
      <c r="A31" s="37" t="s">
        <v>180</v>
      </c>
      <c r="B31" s="38" t="s">
        <v>181</v>
      </c>
      <c r="C31" s="39" t="s">
        <v>182</v>
      </c>
      <c r="D31" s="39" t="s">
        <v>150</v>
      </c>
      <c r="E31" s="38">
        <v>0</v>
      </c>
      <c r="F31" s="38" t="s">
        <v>35</v>
      </c>
      <c r="G31" s="39"/>
      <c r="H31" s="39"/>
      <c r="I31" s="40">
        <v>0.2</v>
      </c>
      <c r="J31" s="40">
        <v>0.24</v>
      </c>
      <c r="K31" s="40">
        <v>0.26</v>
      </c>
      <c r="L31" s="40">
        <v>0.28000000000000003</v>
      </c>
      <c r="M31" s="40">
        <v>1</v>
      </c>
      <c r="N31" s="40">
        <v>1.04</v>
      </c>
      <c r="O31" s="40">
        <v>1.06</v>
      </c>
      <c r="P31" s="40">
        <v>1.08</v>
      </c>
      <c r="Q31" s="38" t="s">
        <v>24</v>
      </c>
      <c r="R31" s="39" t="s">
        <v>151</v>
      </c>
      <c r="S31" s="41" t="s">
        <v>26</v>
      </c>
    </row>
    <row r="32" spans="1:19" ht="20.100000000000001" customHeight="1" x14ac:dyDescent="0.25">
      <c r="A32" s="37" t="s">
        <v>183</v>
      </c>
      <c r="B32" s="38" t="s">
        <v>184</v>
      </c>
      <c r="C32" s="39" t="s">
        <v>185</v>
      </c>
      <c r="D32" s="39" t="s">
        <v>167</v>
      </c>
      <c r="E32" s="38">
        <v>0</v>
      </c>
      <c r="F32" s="38" t="s">
        <v>43</v>
      </c>
      <c r="G32" s="39"/>
      <c r="H32" s="39"/>
      <c r="I32" s="40">
        <v>0.2</v>
      </c>
      <c r="J32" s="40">
        <v>0.24</v>
      </c>
      <c r="K32" s="40">
        <v>0.26</v>
      </c>
      <c r="L32" s="40">
        <v>0.28000000000000003</v>
      </c>
      <c r="M32" s="40">
        <v>1</v>
      </c>
      <c r="N32" s="40">
        <v>1.04</v>
      </c>
      <c r="O32" s="40">
        <v>1.06</v>
      </c>
      <c r="P32" s="40">
        <v>1.08</v>
      </c>
      <c r="Q32" s="38" t="s">
        <v>24</v>
      </c>
      <c r="R32" s="39" t="s">
        <v>168</v>
      </c>
      <c r="S32" s="41" t="s">
        <v>26</v>
      </c>
    </row>
    <row r="33" spans="1:19" ht="20.100000000000001" customHeight="1" x14ac:dyDescent="0.25">
      <c r="A33" s="37" t="s">
        <v>186</v>
      </c>
      <c r="B33" s="38" t="s">
        <v>187</v>
      </c>
      <c r="C33" s="39" t="s">
        <v>188</v>
      </c>
      <c r="D33" s="39" t="s">
        <v>189</v>
      </c>
      <c r="E33" s="38">
        <v>1000</v>
      </c>
      <c r="F33" s="38"/>
      <c r="G33" s="39"/>
      <c r="H33" s="39"/>
      <c r="I33" s="40">
        <v>1000</v>
      </c>
      <c r="J33" s="40">
        <v>1000</v>
      </c>
      <c r="K33" s="40">
        <v>1000</v>
      </c>
      <c r="L33" s="40">
        <v>1000</v>
      </c>
      <c r="M33" s="40">
        <v>1000</v>
      </c>
      <c r="N33" s="40">
        <v>1000</v>
      </c>
      <c r="O33" s="40">
        <v>1000</v>
      </c>
      <c r="P33" s="40">
        <v>1000</v>
      </c>
      <c r="Q33" s="38" t="s">
        <v>24</v>
      </c>
      <c r="R33" s="39" t="s">
        <v>189</v>
      </c>
      <c r="S33" s="41" t="s">
        <v>26</v>
      </c>
    </row>
    <row r="34" spans="1:19" ht="20.100000000000001" customHeight="1" x14ac:dyDescent="0.25">
      <c r="A34" s="37" t="s">
        <v>190</v>
      </c>
      <c r="B34" s="38" t="s">
        <v>191</v>
      </c>
      <c r="C34" s="39" t="s">
        <v>192</v>
      </c>
      <c r="D34" s="39" t="s">
        <v>109</v>
      </c>
      <c r="E34" s="38">
        <v>100</v>
      </c>
      <c r="F34" s="38"/>
      <c r="G34" s="39"/>
      <c r="H34" s="39"/>
      <c r="I34" s="40">
        <v>100</v>
      </c>
      <c r="J34" s="40">
        <v>100</v>
      </c>
      <c r="K34" s="40">
        <v>100</v>
      </c>
      <c r="L34" s="40">
        <v>100</v>
      </c>
      <c r="M34" s="40">
        <v>100</v>
      </c>
      <c r="N34" s="40">
        <v>100</v>
      </c>
      <c r="O34" s="40">
        <v>100</v>
      </c>
      <c r="P34" s="40">
        <v>100</v>
      </c>
      <c r="Q34" s="38" t="s">
        <v>24</v>
      </c>
      <c r="R34" s="39" t="s">
        <v>109</v>
      </c>
      <c r="S34" s="41" t="s">
        <v>26</v>
      </c>
    </row>
    <row r="35" spans="1:19" ht="20.100000000000001" customHeight="1" x14ac:dyDescent="0.25">
      <c r="A35" s="37" t="s">
        <v>193</v>
      </c>
      <c r="B35" s="38" t="s">
        <v>194</v>
      </c>
      <c r="C35" s="39" t="s">
        <v>195</v>
      </c>
      <c r="D35" s="39" t="s">
        <v>109</v>
      </c>
      <c r="E35" s="38">
        <v>100</v>
      </c>
      <c r="F35" s="38"/>
      <c r="G35" s="39"/>
      <c r="H35" s="39"/>
      <c r="I35" s="40">
        <v>100</v>
      </c>
      <c r="J35" s="40">
        <v>100</v>
      </c>
      <c r="K35" s="40">
        <v>100</v>
      </c>
      <c r="L35" s="40">
        <v>100</v>
      </c>
      <c r="M35" s="40">
        <v>100</v>
      </c>
      <c r="N35" s="40">
        <v>100</v>
      </c>
      <c r="O35" s="40">
        <v>100</v>
      </c>
      <c r="P35" s="40">
        <v>100</v>
      </c>
      <c r="Q35" s="38" t="s">
        <v>24</v>
      </c>
      <c r="R35" s="39" t="s">
        <v>109</v>
      </c>
      <c r="S35" s="41" t="s">
        <v>26</v>
      </c>
    </row>
    <row r="36" spans="1:19" ht="30" customHeight="1" x14ac:dyDescent="0.25">
      <c r="A36" s="37" t="s">
        <v>196</v>
      </c>
      <c r="B36" s="38" t="s">
        <v>197</v>
      </c>
      <c r="C36" s="39" t="s">
        <v>198</v>
      </c>
      <c r="D36" s="39" t="s">
        <v>199</v>
      </c>
      <c r="E36" s="38">
        <v>2500</v>
      </c>
      <c r="F36" s="38" t="s">
        <v>35</v>
      </c>
      <c r="G36" s="39" t="s">
        <v>36</v>
      </c>
      <c r="H36" s="39" t="s">
        <v>37</v>
      </c>
      <c r="I36" s="40">
        <v>3600</v>
      </c>
      <c r="J36" s="40">
        <v>3844</v>
      </c>
      <c r="K36" s="40">
        <v>3969</v>
      </c>
      <c r="L36" s="40">
        <v>4096</v>
      </c>
      <c r="M36" s="40">
        <v>10000</v>
      </c>
      <c r="N36" s="40">
        <v>10404</v>
      </c>
      <c r="O36" s="40">
        <v>10609</v>
      </c>
      <c r="P36" s="40">
        <v>10816</v>
      </c>
      <c r="Q36" s="38" t="s">
        <v>24</v>
      </c>
      <c r="R36" s="39" t="s">
        <v>200</v>
      </c>
      <c r="S36" s="41" t="s">
        <v>26</v>
      </c>
    </row>
    <row r="37" spans="1:19" ht="20.100000000000001" customHeight="1" x14ac:dyDescent="0.25">
      <c r="A37" s="37" t="s">
        <v>201</v>
      </c>
      <c r="B37" s="38" t="s">
        <v>202</v>
      </c>
      <c r="C37" s="39" t="s">
        <v>203</v>
      </c>
      <c r="D37" s="39" t="s">
        <v>204</v>
      </c>
      <c r="E37" s="38">
        <v>1</v>
      </c>
      <c r="F37" s="38"/>
      <c r="G37" s="39" t="s">
        <v>205</v>
      </c>
      <c r="H37" s="39" t="s">
        <v>205</v>
      </c>
      <c r="I37" s="40">
        <v>1</v>
      </c>
      <c r="J37" s="40">
        <v>1</v>
      </c>
      <c r="K37" s="40">
        <v>1</v>
      </c>
      <c r="L37" s="40">
        <v>1</v>
      </c>
      <c r="M37" s="40">
        <v>1</v>
      </c>
      <c r="N37" s="40">
        <v>1</v>
      </c>
      <c r="O37" s="40">
        <v>1</v>
      </c>
      <c r="P37" s="40">
        <v>1</v>
      </c>
      <c r="Q37" s="38" t="s">
        <v>24</v>
      </c>
      <c r="R37" s="39" t="s">
        <v>206</v>
      </c>
      <c r="S37" s="41" t="s">
        <v>26</v>
      </c>
    </row>
    <row r="38" spans="1:19" ht="20.100000000000001" customHeight="1" x14ac:dyDescent="0.25">
      <c r="A38" s="37" t="s">
        <v>207</v>
      </c>
      <c r="B38" s="38" t="s">
        <v>208</v>
      </c>
      <c r="C38" s="39" t="s">
        <v>209</v>
      </c>
      <c r="D38" s="39" t="s">
        <v>210</v>
      </c>
      <c r="E38" s="38">
        <v>11</v>
      </c>
      <c r="F38" s="38"/>
      <c r="G38" s="39"/>
      <c r="H38" s="39"/>
      <c r="I38" s="40">
        <v>11</v>
      </c>
      <c r="J38" s="40">
        <v>11</v>
      </c>
      <c r="K38" s="40">
        <v>11</v>
      </c>
      <c r="L38" s="40">
        <v>11</v>
      </c>
      <c r="M38" s="40">
        <v>11</v>
      </c>
      <c r="N38" s="40">
        <v>11</v>
      </c>
      <c r="O38" s="40">
        <v>11</v>
      </c>
      <c r="P38" s="40">
        <v>11</v>
      </c>
      <c r="Q38" s="38" t="s">
        <v>24</v>
      </c>
      <c r="R38" s="39" t="s">
        <v>210</v>
      </c>
      <c r="S38" s="41" t="s">
        <v>26</v>
      </c>
    </row>
    <row r="39" spans="1:19" ht="20.100000000000001" customHeight="1" x14ac:dyDescent="0.25">
      <c r="A39" s="37" t="s">
        <v>211</v>
      </c>
      <c r="B39" s="38" t="s">
        <v>212</v>
      </c>
      <c r="C39" s="39" t="s">
        <v>213</v>
      </c>
      <c r="D39" s="39" t="s">
        <v>214</v>
      </c>
      <c r="E39" s="38">
        <v>1</v>
      </c>
      <c r="F39" s="38" t="s">
        <v>104</v>
      </c>
      <c r="G39" s="39"/>
      <c r="H39" s="39"/>
      <c r="I39" s="40">
        <v>1.1000000000000001</v>
      </c>
      <c r="J39" s="40">
        <v>1.1200000000000001</v>
      </c>
      <c r="K39" s="40">
        <v>1.1299999999999999</v>
      </c>
      <c r="L39" s="40">
        <v>1.1399999999999999</v>
      </c>
      <c r="M39" s="40">
        <v>1.5</v>
      </c>
      <c r="N39" s="40">
        <v>1.52</v>
      </c>
      <c r="O39" s="40">
        <v>1.53</v>
      </c>
      <c r="P39" s="40">
        <v>1.54</v>
      </c>
      <c r="Q39" s="38" t="s">
        <v>24</v>
      </c>
      <c r="R39" s="39" t="s">
        <v>215</v>
      </c>
      <c r="S39" s="41" t="s">
        <v>26</v>
      </c>
    </row>
    <row r="40" spans="1:19" ht="20.100000000000001" customHeight="1" x14ac:dyDescent="0.25">
      <c r="A40" s="37" t="s">
        <v>216</v>
      </c>
      <c r="B40" s="38" t="s">
        <v>217</v>
      </c>
      <c r="C40" s="39" t="s">
        <v>218</v>
      </c>
      <c r="D40" s="39" t="s">
        <v>219</v>
      </c>
      <c r="E40" s="38">
        <v>-5</v>
      </c>
      <c r="F40" s="38"/>
      <c r="G40" s="39"/>
      <c r="H40" s="39"/>
      <c r="I40" s="40">
        <v>-5</v>
      </c>
      <c r="J40" s="40">
        <v>-5</v>
      </c>
      <c r="K40" s="40">
        <v>-5</v>
      </c>
      <c r="L40" s="40">
        <v>-5</v>
      </c>
      <c r="M40" s="40">
        <v>-5</v>
      </c>
      <c r="N40" s="40">
        <v>-5</v>
      </c>
      <c r="O40" s="40">
        <v>-5</v>
      </c>
      <c r="P40" s="40">
        <v>-5</v>
      </c>
      <c r="Q40" s="38" t="s">
        <v>24</v>
      </c>
      <c r="R40" s="39" t="s">
        <v>219</v>
      </c>
      <c r="S40" s="41" t="s">
        <v>26</v>
      </c>
    </row>
    <row r="41" spans="1:19" ht="20.100000000000001" customHeight="1" x14ac:dyDescent="0.25">
      <c r="A41" s="37" t="s">
        <v>220</v>
      </c>
      <c r="B41" s="38" t="s">
        <v>221</v>
      </c>
      <c r="C41" s="39" t="s">
        <v>222</v>
      </c>
      <c r="D41" s="39" t="s">
        <v>223</v>
      </c>
      <c r="E41" s="38">
        <v>0</v>
      </c>
      <c r="F41" s="38" t="s">
        <v>224</v>
      </c>
      <c r="G41" s="39"/>
      <c r="H41" s="39"/>
      <c r="I41" s="40">
        <v>0.05</v>
      </c>
      <c r="J41" s="40">
        <v>0.06</v>
      </c>
      <c r="K41" s="40">
        <v>6.5000000000000002E-2</v>
      </c>
      <c r="L41" s="40">
        <v>7.0000000000000007E-2</v>
      </c>
      <c r="M41" s="40">
        <v>0.25</v>
      </c>
      <c r="N41" s="40">
        <v>0.26</v>
      </c>
      <c r="O41" s="40">
        <v>0.26500000000000001</v>
      </c>
      <c r="P41" s="40">
        <v>0.27</v>
      </c>
      <c r="Q41" s="38" t="s">
        <v>24</v>
      </c>
      <c r="R41" s="39" t="s">
        <v>225</v>
      </c>
      <c r="S41" s="41" t="s">
        <v>26</v>
      </c>
    </row>
    <row r="42" spans="1:19" ht="20.100000000000001" customHeight="1" x14ac:dyDescent="0.25">
      <c r="A42" s="37" t="s">
        <v>226</v>
      </c>
      <c r="B42" s="38" t="s">
        <v>227</v>
      </c>
      <c r="C42" s="39" t="s">
        <v>228</v>
      </c>
      <c r="D42" s="39" t="s">
        <v>229</v>
      </c>
      <c r="E42" s="38">
        <v>1</v>
      </c>
      <c r="F42" s="38" t="s">
        <v>224</v>
      </c>
      <c r="G42" s="39" t="s">
        <v>220</v>
      </c>
      <c r="H42" s="39" t="s">
        <v>220</v>
      </c>
      <c r="I42" s="40">
        <v>0.95</v>
      </c>
      <c r="J42" s="40">
        <v>0.94</v>
      </c>
      <c r="K42" s="40">
        <v>0.93500000000000005</v>
      </c>
      <c r="L42" s="40">
        <v>0.93</v>
      </c>
      <c r="M42" s="40">
        <v>0.75</v>
      </c>
      <c r="N42" s="40">
        <v>0.74</v>
      </c>
      <c r="O42" s="40">
        <v>0.73499999999999999</v>
      </c>
      <c r="P42" s="40">
        <v>0.73</v>
      </c>
      <c r="Q42" s="38" t="s">
        <v>24</v>
      </c>
      <c r="R42" s="39" t="s">
        <v>230</v>
      </c>
      <c r="S42" s="41" t="s">
        <v>26</v>
      </c>
    </row>
    <row r="43" spans="1:19" ht="20.100000000000001" customHeight="1" x14ac:dyDescent="0.25">
      <c r="A43" s="37" t="s">
        <v>231</v>
      </c>
      <c r="B43" s="38" t="s">
        <v>232</v>
      </c>
      <c r="C43" s="39" t="s">
        <v>233</v>
      </c>
      <c r="D43" s="39" t="s">
        <v>234</v>
      </c>
      <c r="E43" s="38">
        <v>10000000</v>
      </c>
      <c r="F43" s="38"/>
      <c r="G43" s="39"/>
      <c r="H43" s="39"/>
      <c r="I43" s="40">
        <v>10000000</v>
      </c>
      <c r="J43" s="40">
        <v>10000000</v>
      </c>
      <c r="K43" s="40">
        <v>10000000</v>
      </c>
      <c r="L43" s="40">
        <v>10000000</v>
      </c>
      <c r="M43" s="40">
        <v>10000000</v>
      </c>
      <c r="N43" s="40">
        <v>10000000</v>
      </c>
      <c r="O43" s="40">
        <v>10000000</v>
      </c>
      <c r="P43" s="40">
        <v>10000000</v>
      </c>
      <c r="Q43" s="38" t="s">
        <v>24</v>
      </c>
      <c r="R43" s="39" t="s">
        <v>234</v>
      </c>
      <c r="S43" s="41" t="s">
        <v>26</v>
      </c>
    </row>
    <row r="44" spans="1:19" ht="20.100000000000001" customHeight="1" x14ac:dyDescent="0.25">
      <c r="A44" s="37" t="s">
        <v>235</v>
      </c>
      <c r="B44" s="38" t="s">
        <v>236</v>
      </c>
      <c r="C44" s="39" t="s">
        <v>237</v>
      </c>
      <c r="D44" s="39" t="s">
        <v>109</v>
      </c>
      <c r="E44" s="38">
        <v>100</v>
      </c>
      <c r="F44" s="38"/>
      <c r="G44" s="39"/>
      <c r="H44" s="39"/>
      <c r="I44" s="40">
        <v>100</v>
      </c>
      <c r="J44" s="40">
        <v>100</v>
      </c>
      <c r="K44" s="40">
        <v>100</v>
      </c>
      <c r="L44" s="40">
        <v>100</v>
      </c>
      <c r="M44" s="40">
        <v>100</v>
      </c>
      <c r="N44" s="40">
        <v>100</v>
      </c>
      <c r="O44" s="40">
        <v>100</v>
      </c>
      <c r="P44" s="40">
        <v>100</v>
      </c>
      <c r="Q44" s="38" t="s">
        <v>24</v>
      </c>
      <c r="R44" s="39" t="s">
        <v>109</v>
      </c>
      <c r="S44" s="41" t="s">
        <v>26</v>
      </c>
    </row>
    <row r="45" spans="1:19" ht="20.100000000000001" customHeight="1" x14ac:dyDescent="0.25">
      <c r="A45" s="37" t="s">
        <v>238</v>
      </c>
      <c r="B45" s="38" t="s">
        <v>239</v>
      </c>
      <c r="C45" s="39" t="s">
        <v>240</v>
      </c>
      <c r="D45" s="39" t="s">
        <v>241</v>
      </c>
      <c r="E45" s="38">
        <v>1</v>
      </c>
      <c r="F45" s="38"/>
      <c r="G45" s="39" t="s">
        <v>242</v>
      </c>
      <c r="H45" s="39" t="s">
        <v>242</v>
      </c>
      <c r="I45" s="40">
        <v>1</v>
      </c>
      <c r="J45" s="40">
        <v>1</v>
      </c>
      <c r="K45" s="40">
        <v>1</v>
      </c>
      <c r="L45" s="40">
        <v>1</v>
      </c>
      <c r="M45" s="40">
        <v>1</v>
      </c>
      <c r="N45" s="40">
        <v>1</v>
      </c>
      <c r="O45" s="40">
        <v>1</v>
      </c>
      <c r="P45" s="40">
        <v>1</v>
      </c>
      <c r="Q45" s="38" t="s">
        <v>24</v>
      </c>
      <c r="R45" s="39" t="s">
        <v>243</v>
      </c>
      <c r="S45" s="41" t="s">
        <v>26</v>
      </c>
    </row>
    <row r="46" spans="1:19" ht="20.100000000000001" customHeight="1" x14ac:dyDescent="0.25">
      <c r="A46" s="37" t="s">
        <v>244</v>
      </c>
      <c r="B46" s="38" t="s">
        <v>245</v>
      </c>
      <c r="C46" s="39" t="s">
        <v>246</v>
      </c>
      <c r="D46" s="39" t="s">
        <v>247</v>
      </c>
      <c r="E46" s="38">
        <v>1</v>
      </c>
      <c r="F46" s="38"/>
      <c r="G46" s="39" t="s">
        <v>248</v>
      </c>
      <c r="H46" s="39" t="s">
        <v>248</v>
      </c>
      <c r="I46" s="40">
        <v>1</v>
      </c>
      <c r="J46" s="40">
        <v>1</v>
      </c>
      <c r="K46" s="40">
        <v>1</v>
      </c>
      <c r="L46" s="40">
        <v>1</v>
      </c>
      <c r="M46" s="40">
        <v>1</v>
      </c>
      <c r="N46" s="40">
        <v>1</v>
      </c>
      <c r="O46" s="40">
        <v>1</v>
      </c>
      <c r="P46" s="40">
        <v>1</v>
      </c>
      <c r="Q46" s="38" t="s">
        <v>24</v>
      </c>
      <c r="R46" s="39" t="s">
        <v>249</v>
      </c>
      <c r="S46" s="41" t="s">
        <v>26</v>
      </c>
    </row>
    <row r="47" spans="1:19" ht="20.100000000000001" customHeight="1" x14ac:dyDescent="0.25">
      <c r="A47" s="37" t="s">
        <v>250</v>
      </c>
      <c r="B47" s="38" t="s">
        <v>251</v>
      </c>
      <c r="C47" s="39" t="s">
        <v>252</v>
      </c>
      <c r="D47" s="39" t="s">
        <v>253</v>
      </c>
      <c r="E47" s="38">
        <v>1</v>
      </c>
      <c r="F47" s="38"/>
      <c r="G47" s="39" t="s">
        <v>254</v>
      </c>
      <c r="H47" s="39" t="s">
        <v>254</v>
      </c>
      <c r="I47" s="40">
        <v>1</v>
      </c>
      <c r="J47" s="40">
        <v>1</v>
      </c>
      <c r="K47" s="40">
        <v>1</v>
      </c>
      <c r="L47" s="40">
        <v>1</v>
      </c>
      <c r="M47" s="40">
        <v>1</v>
      </c>
      <c r="N47" s="40">
        <v>1</v>
      </c>
      <c r="O47" s="40">
        <v>1</v>
      </c>
      <c r="P47" s="40">
        <v>1</v>
      </c>
      <c r="Q47" s="38" t="s">
        <v>24</v>
      </c>
      <c r="R47" s="39" t="s">
        <v>255</v>
      </c>
      <c r="S47" s="41" t="s">
        <v>26</v>
      </c>
    </row>
    <row r="48" spans="1:19" ht="20.100000000000001" customHeight="1" x14ac:dyDescent="0.25">
      <c r="A48" s="37" t="s">
        <v>256</v>
      </c>
      <c r="B48" s="38" t="s">
        <v>257</v>
      </c>
      <c r="C48" s="39" t="s">
        <v>258</v>
      </c>
      <c r="D48" s="39" t="s">
        <v>259</v>
      </c>
      <c r="E48" s="38">
        <v>1</v>
      </c>
      <c r="F48" s="38"/>
      <c r="G48" s="39" t="s">
        <v>260</v>
      </c>
      <c r="H48" s="39" t="s">
        <v>260</v>
      </c>
      <c r="I48" s="40">
        <v>1</v>
      </c>
      <c r="J48" s="40">
        <v>1</v>
      </c>
      <c r="K48" s="40">
        <v>1</v>
      </c>
      <c r="L48" s="40">
        <v>1</v>
      </c>
      <c r="M48" s="40">
        <v>1</v>
      </c>
      <c r="N48" s="40">
        <v>1</v>
      </c>
      <c r="O48" s="40">
        <v>1</v>
      </c>
      <c r="P48" s="40">
        <v>1</v>
      </c>
      <c r="Q48" s="38" t="s">
        <v>24</v>
      </c>
      <c r="R48" s="39" t="s">
        <v>261</v>
      </c>
      <c r="S48" s="41" t="s">
        <v>26</v>
      </c>
    </row>
    <row r="49" spans="1:19" ht="20.100000000000001" customHeight="1" x14ac:dyDescent="0.25">
      <c r="A49" s="37" t="s">
        <v>262</v>
      </c>
      <c r="B49" s="38" t="s">
        <v>263</v>
      </c>
      <c r="C49" s="39" t="s">
        <v>264</v>
      </c>
      <c r="D49" s="39" t="s">
        <v>265</v>
      </c>
      <c r="E49" s="38">
        <v>1</v>
      </c>
      <c r="F49" s="38" t="s">
        <v>266</v>
      </c>
      <c r="G49" s="39"/>
      <c r="H49" s="39"/>
      <c r="I49" s="40">
        <v>1.1000000000000001</v>
      </c>
      <c r="J49" s="40">
        <v>1.1200000000000001</v>
      </c>
      <c r="K49" s="40">
        <v>1.1299999999999999</v>
      </c>
      <c r="L49" s="40">
        <v>1.1399999999999999</v>
      </c>
      <c r="M49" s="40">
        <v>1.5</v>
      </c>
      <c r="N49" s="40">
        <v>1.52</v>
      </c>
      <c r="O49" s="40">
        <v>1.53</v>
      </c>
      <c r="P49" s="40">
        <v>1.54</v>
      </c>
      <c r="Q49" s="38" t="s">
        <v>24</v>
      </c>
      <c r="R49" s="39" t="s">
        <v>267</v>
      </c>
      <c r="S49" s="41" t="s">
        <v>26</v>
      </c>
    </row>
    <row r="50" spans="1:19" ht="20.100000000000001" customHeight="1" x14ac:dyDescent="0.25">
      <c r="A50" s="37" t="s">
        <v>268</v>
      </c>
      <c r="B50" s="38" t="s">
        <v>269</v>
      </c>
      <c r="C50" s="39" t="s">
        <v>270</v>
      </c>
      <c r="D50" s="39" t="s">
        <v>271</v>
      </c>
      <c r="E50" s="38">
        <v>1</v>
      </c>
      <c r="F50" s="38"/>
      <c r="G50" s="39" t="s">
        <v>272</v>
      </c>
      <c r="H50" s="39" t="s">
        <v>272</v>
      </c>
      <c r="I50" s="40">
        <v>1</v>
      </c>
      <c r="J50" s="40">
        <v>1</v>
      </c>
      <c r="K50" s="40">
        <v>1</v>
      </c>
      <c r="L50" s="40">
        <v>1</v>
      </c>
      <c r="M50" s="40">
        <v>1</v>
      </c>
      <c r="N50" s="40">
        <v>1</v>
      </c>
      <c r="O50" s="40">
        <v>1</v>
      </c>
      <c r="P50" s="40">
        <v>1</v>
      </c>
      <c r="Q50" s="38" t="s">
        <v>24</v>
      </c>
      <c r="R50" s="39" t="s">
        <v>273</v>
      </c>
      <c r="S50" s="41" t="s">
        <v>26</v>
      </c>
    </row>
    <row r="51" spans="1:19" ht="20.100000000000001" customHeight="1" x14ac:dyDescent="0.25">
      <c r="A51" s="37" t="s">
        <v>274</v>
      </c>
      <c r="B51" s="38" t="s">
        <v>275</v>
      </c>
      <c r="C51" s="39" t="s">
        <v>276</v>
      </c>
      <c r="D51" s="39" t="s">
        <v>277</v>
      </c>
      <c r="E51" s="38">
        <v>1</v>
      </c>
      <c r="F51" s="38" t="s">
        <v>104</v>
      </c>
      <c r="G51" s="39"/>
      <c r="H51" s="39"/>
      <c r="I51" s="40">
        <v>0.95</v>
      </c>
      <c r="J51" s="40">
        <v>0.94</v>
      </c>
      <c r="K51" s="40">
        <v>0.93500000000000005</v>
      </c>
      <c r="L51" s="40">
        <v>0.93</v>
      </c>
      <c r="M51" s="40">
        <v>0.75</v>
      </c>
      <c r="N51" s="40">
        <v>0.74</v>
      </c>
      <c r="O51" s="40">
        <v>0.73499999999999999</v>
      </c>
      <c r="P51" s="40">
        <v>0.73</v>
      </c>
      <c r="Q51" s="38" t="s">
        <v>24</v>
      </c>
      <c r="R51" s="39" t="s">
        <v>278</v>
      </c>
      <c r="S51" s="41" t="s">
        <v>26</v>
      </c>
    </row>
    <row r="52" spans="1:19" ht="20.100000000000001" customHeight="1" x14ac:dyDescent="0.25">
      <c r="A52" s="37" t="s">
        <v>279</v>
      </c>
      <c r="B52" s="38" t="s">
        <v>280</v>
      </c>
      <c r="C52" s="39" t="s">
        <v>281</v>
      </c>
      <c r="D52" s="39" t="s">
        <v>282</v>
      </c>
      <c r="E52" s="38">
        <v>1</v>
      </c>
      <c r="F52" s="38"/>
      <c r="G52" s="39" t="s">
        <v>283</v>
      </c>
      <c r="H52" s="39" t="s">
        <v>283</v>
      </c>
      <c r="I52" s="40">
        <v>1</v>
      </c>
      <c r="J52" s="40">
        <v>1</v>
      </c>
      <c r="K52" s="40">
        <v>1</v>
      </c>
      <c r="L52" s="40">
        <v>1</v>
      </c>
      <c r="M52" s="40">
        <v>1</v>
      </c>
      <c r="N52" s="40">
        <v>1</v>
      </c>
      <c r="O52" s="40">
        <v>1</v>
      </c>
      <c r="P52" s="40">
        <v>1</v>
      </c>
      <c r="Q52" s="38" t="s">
        <v>24</v>
      </c>
      <c r="R52" s="39" t="s">
        <v>284</v>
      </c>
      <c r="S52" s="41" t="s">
        <v>26</v>
      </c>
    </row>
    <row r="53" spans="1:19" ht="20.100000000000001" customHeight="1" x14ac:dyDescent="0.25">
      <c r="A53" s="37" t="s">
        <v>285</v>
      </c>
      <c r="B53" s="38" t="s">
        <v>286</v>
      </c>
      <c r="C53" s="39" t="s">
        <v>287</v>
      </c>
      <c r="D53" s="39" t="s">
        <v>288</v>
      </c>
      <c r="E53" s="38">
        <v>1</v>
      </c>
      <c r="F53" s="38" t="s">
        <v>289</v>
      </c>
      <c r="G53" s="39"/>
      <c r="H53" s="39"/>
      <c r="I53" s="40">
        <v>1.1000000000000001</v>
      </c>
      <c r="J53" s="40">
        <v>1.1200000000000001</v>
      </c>
      <c r="K53" s="40">
        <v>1.1299999999999999</v>
      </c>
      <c r="L53" s="40">
        <v>1.1399999999999999</v>
      </c>
      <c r="M53" s="40">
        <v>1.5</v>
      </c>
      <c r="N53" s="40">
        <v>1.52</v>
      </c>
      <c r="O53" s="40">
        <v>1.53</v>
      </c>
      <c r="P53" s="40">
        <v>1.54</v>
      </c>
      <c r="Q53" s="38" t="s">
        <v>24</v>
      </c>
      <c r="R53" s="39" t="s">
        <v>290</v>
      </c>
      <c r="S53" s="41" t="s">
        <v>26</v>
      </c>
    </row>
    <row r="54" spans="1:19" ht="20.100000000000001" customHeight="1" x14ac:dyDescent="0.25">
      <c r="A54" s="37" t="s">
        <v>23</v>
      </c>
      <c r="B54" s="38" t="s">
        <v>291</v>
      </c>
      <c r="C54" s="39" t="s">
        <v>292</v>
      </c>
      <c r="D54" s="39" t="s">
        <v>293</v>
      </c>
      <c r="E54" s="38">
        <v>0</v>
      </c>
      <c r="F54" s="38"/>
      <c r="G54" s="39"/>
      <c r="H54" s="39"/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38"/>
      <c r="R54" s="39" t="s">
        <v>293</v>
      </c>
      <c r="S54" s="41" t="s">
        <v>294</v>
      </c>
    </row>
    <row r="55" spans="1:19" ht="20.100000000000001" customHeight="1" x14ac:dyDescent="0.25">
      <c r="A55" s="37" t="s">
        <v>295</v>
      </c>
      <c r="B55" s="38" t="s">
        <v>296</v>
      </c>
      <c r="C55" s="39" t="s">
        <v>297</v>
      </c>
      <c r="D55" s="39" t="s">
        <v>293</v>
      </c>
      <c r="E55" s="38">
        <v>0</v>
      </c>
      <c r="F55" s="38"/>
      <c r="G55" s="39"/>
      <c r="H55" s="39"/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  <c r="Q55" s="38"/>
      <c r="R55" s="39" t="s">
        <v>293</v>
      </c>
      <c r="S55" s="41" t="s">
        <v>294</v>
      </c>
    </row>
    <row r="56" spans="1:19" ht="20.100000000000001" customHeight="1" x14ac:dyDescent="0.25">
      <c r="A56" s="37" t="s">
        <v>298</v>
      </c>
      <c r="B56" s="38" t="s">
        <v>299</v>
      </c>
      <c r="C56" s="39" t="s">
        <v>300</v>
      </c>
      <c r="D56" s="39" t="s">
        <v>301</v>
      </c>
      <c r="E56" s="38">
        <v>0</v>
      </c>
      <c r="F56" s="38" t="s">
        <v>302</v>
      </c>
      <c r="G56" s="39"/>
      <c r="H56" s="39"/>
      <c r="I56" s="40">
        <v>0.02</v>
      </c>
      <c r="J56" s="40">
        <v>2.4E-2</v>
      </c>
      <c r="K56" s="40">
        <v>2.5999999999999999E-2</v>
      </c>
      <c r="L56" s="40">
        <v>2.8000000000000001E-2</v>
      </c>
      <c r="M56" s="40">
        <v>0.1</v>
      </c>
      <c r="N56" s="40">
        <v>0.104</v>
      </c>
      <c r="O56" s="40">
        <v>0.106</v>
      </c>
      <c r="P56" s="40">
        <v>0.108</v>
      </c>
      <c r="Q56" s="38"/>
      <c r="R56" s="39" t="s">
        <v>303</v>
      </c>
      <c r="S56" s="41" t="s">
        <v>294</v>
      </c>
    </row>
    <row r="57" spans="1:19" ht="20.100000000000001" customHeight="1" x14ac:dyDescent="0.25">
      <c r="A57" s="37" t="s">
        <v>304</v>
      </c>
      <c r="B57" s="38" t="s">
        <v>305</v>
      </c>
      <c r="C57" s="39" t="s">
        <v>306</v>
      </c>
      <c r="D57" s="39" t="s">
        <v>307</v>
      </c>
      <c r="E57" s="38">
        <v>0.1</v>
      </c>
      <c r="F57" s="38"/>
      <c r="G57" s="39"/>
      <c r="H57" s="39"/>
      <c r="I57" s="40">
        <v>0.1</v>
      </c>
      <c r="J57" s="40">
        <v>0.1</v>
      </c>
      <c r="K57" s="40">
        <v>0.1</v>
      </c>
      <c r="L57" s="40">
        <v>0.1</v>
      </c>
      <c r="M57" s="40">
        <v>0.1</v>
      </c>
      <c r="N57" s="40">
        <v>0.1</v>
      </c>
      <c r="O57" s="40">
        <v>0.1</v>
      </c>
      <c r="P57" s="40">
        <v>0.1</v>
      </c>
      <c r="Q57" s="38"/>
      <c r="R57" s="39" t="s">
        <v>307</v>
      </c>
      <c r="S57" s="41" t="s">
        <v>294</v>
      </c>
    </row>
    <row r="58" spans="1:19" ht="20.100000000000001" customHeight="1" x14ac:dyDescent="0.25">
      <c r="A58" s="37" t="s">
        <v>308</v>
      </c>
      <c r="B58" s="38" t="s">
        <v>309</v>
      </c>
      <c r="C58" s="39" t="s">
        <v>310</v>
      </c>
      <c r="D58" s="39" t="s">
        <v>307</v>
      </c>
      <c r="E58" s="38">
        <v>0.1</v>
      </c>
      <c r="F58" s="38"/>
      <c r="G58" s="39"/>
      <c r="H58" s="39"/>
      <c r="I58" s="40">
        <v>0.1</v>
      </c>
      <c r="J58" s="40">
        <v>0.1</v>
      </c>
      <c r="K58" s="40">
        <v>0.1</v>
      </c>
      <c r="L58" s="40">
        <v>0.1</v>
      </c>
      <c r="M58" s="40">
        <v>0.1</v>
      </c>
      <c r="N58" s="40">
        <v>0.1</v>
      </c>
      <c r="O58" s="40">
        <v>0.1</v>
      </c>
      <c r="P58" s="40">
        <v>0.1</v>
      </c>
      <c r="Q58" s="38"/>
      <c r="R58" s="39" t="s">
        <v>307</v>
      </c>
      <c r="S58" s="41" t="s">
        <v>294</v>
      </c>
    </row>
    <row r="59" spans="1:19" ht="20.100000000000001" customHeight="1" x14ac:dyDescent="0.25">
      <c r="A59" s="37" t="s">
        <v>311</v>
      </c>
      <c r="B59" s="38" t="s">
        <v>312</v>
      </c>
      <c r="C59" s="39" t="s">
        <v>313</v>
      </c>
      <c r="D59" s="39" t="s">
        <v>314</v>
      </c>
      <c r="E59" s="38">
        <v>4</v>
      </c>
      <c r="F59" s="38" t="s">
        <v>302</v>
      </c>
      <c r="G59" s="39" t="s">
        <v>315</v>
      </c>
      <c r="H59" s="39" t="s">
        <v>315</v>
      </c>
      <c r="I59" s="40">
        <v>3.6</v>
      </c>
      <c r="J59" s="40">
        <v>3.52</v>
      </c>
      <c r="K59" s="40">
        <v>3.48</v>
      </c>
      <c r="L59" s="40">
        <v>3.44</v>
      </c>
      <c r="M59" s="40">
        <v>2</v>
      </c>
      <c r="N59" s="40">
        <v>1.92</v>
      </c>
      <c r="O59" s="40">
        <v>1.88</v>
      </c>
      <c r="P59" s="40">
        <v>1.84</v>
      </c>
      <c r="Q59" s="38"/>
      <c r="R59" s="39" t="s">
        <v>316</v>
      </c>
      <c r="S59" s="41" t="s">
        <v>294</v>
      </c>
    </row>
    <row r="60" spans="1:19" ht="20.100000000000001" customHeight="1" x14ac:dyDescent="0.25">
      <c r="A60" s="37" t="s">
        <v>315</v>
      </c>
      <c r="B60" s="38" t="s">
        <v>317</v>
      </c>
      <c r="C60" s="39" t="s">
        <v>318</v>
      </c>
      <c r="D60" s="39" t="s">
        <v>319</v>
      </c>
      <c r="E60" s="38">
        <v>0</v>
      </c>
      <c r="F60" s="38" t="s">
        <v>302</v>
      </c>
      <c r="G60" s="39"/>
      <c r="H60" s="39"/>
      <c r="I60" s="40">
        <v>0.1</v>
      </c>
      <c r="J60" s="40">
        <v>0.12</v>
      </c>
      <c r="K60" s="40">
        <v>0.13</v>
      </c>
      <c r="L60" s="40">
        <v>0.14000000000000001</v>
      </c>
      <c r="M60" s="40">
        <v>0.5</v>
      </c>
      <c r="N60" s="40">
        <v>0.52</v>
      </c>
      <c r="O60" s="40">
        <v>0.53</v>
      </c>
      <c r="P60" s="40">
        <v>0.54</v>
      </c>
      <c r="Q60" s="38"/>
      <c r="R60" s="39" t="s">
        <v>320</v>
      </c>
      <c r="S60" s="41" t="s">
        <v>294</v>
      </c>
    </row>
    <row r="61" spans="1:19" ht="20.100000000000001" customHeight="1" x14ac:dyDescent="0.25">
      <c r="A61" s="37" t="s">
        <v>321</v>
      </c>
      <c r="B61" s="38" t="s">
        <v>322</v>
      </c>
      <c r="C61" s="39" t="s">
        <v>323</v>
      </c>
      <c r="D61" s="39" t="s">
        <v>324</v>
      </c>
      <c r="E61" s="38">
        <v>0</v>
      </c>
      <c r="F61" s="38" t="s">
        <v>93</v>
      </c>
      <c r="G61" s="39" t="s">
        <v>325</v>
      </c>
      <c r="H61" s="39" t="s">
        <v>325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38"/>
      <c r="R61" s="39" t="s">
        <v>326</v>
      </c>
      <c r="S61" s="41" t="s">
        <v>294</v>
      </c>
    </row>
    <row r="62" spans="1:19" ht="20.100000000000001" customHeight="1" x14ac:dyDescent="0.25">
      <c r="A62" s="37" t="s">
        <v>327</v>
      </c>
      <c r="B62" s="38" t="s">
        <v>328</v>
      </c>
      <c r="C62" s="39" t="s">
        <v>329</v>
      </c>
      <c r="D62" s="39" t="s">
        <v>330</v>
      </c>
      <c r="E62" s="38">
        <v>0</v>
      </c>
      <c r="F62" s="38" t="s">
        <v>93</v>
      </c>
      <c r="G62" s="39"/>
      <c r="H62" s="39"/>
      <c r="I62" s="40">
        <v>0.1</v>
      </c>
      <c r="J62" s="40">
        <v>0.12</v>
      </c>
      <c r="K62" s="40">
        <v>0.13</v>
      </c>
      <c r="L62" s="40">
        <v>0.14000000000000001</v>
      </c>
      <c r="M62" s="40">
        <v>0.5</v>
      </c>
      <c r="N62" s="40">
        <v>0.52</v>
      </c>
      <c r="O62" s="40">
        <v>0.53</v>
      </c>
      <c r="P62" s="40">
        <v>0.54</v>
      </c>
      <c r="Q62" s="38"/>
      <c r="R62" s="39" t="s">
        <v>331</v>
      </c>
      <c r="S62" s="41" t="s">
        <v>294</v>
      </c>
    </row>
    <row r="63" spans="1:19" ht="20.100000000000001" customHeight="1" x14ac:dyDescent="0.25">
      <c r="A63" s="37" t="s">
        <v>70</v>
      </c>
      <c r="B63" s="38" t="s">
        <v>332</v>
      </c>
      <c r="C63" s="39" t="s">
        <v>333</v>
      </c>
      <c r="D63" s="39" t="s">
        <v>293</v>
      </c>
      <c r="E63" s="38">
        <v>0</v>
      </c>
      <c r="F63" s="38"/>
      <c r="G63" s="39"/>
      <c r="H63" s="39"/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38"/>
      <c r="R63" s="39" t="s">
        <v>293</v>
      </c>
      <c r="S63" s="41" t="s">
        <v>294</v>
      </c>
    </row>
    <row r="64" spans="1:19" ht="20.100000000000001" customHeight="1" x14ac:dyDescent="0.25">
      <c r="A64" s="37" t="s">
        <v>334</v>
      </c>
      <c r="B64" s="38" t="s">
        <v>335</v>
      </c>
      <c r="C64" s="39"/>
      <c r="D64" s="39" t="s">
        <v>336</v>
      </c>
      <c r="E64" s="38">
        <v>1</v>
      </c>
      <c r="F64" s="38"/>
      <c r="G64" s="39"/>
      <c r="H64" s="39"/>
      <c r="I64" s="40">
        <v>1</v>
      </c>
      <c r="J64" s="40">
        <v>1</v>
      </c>
      <c r="K64" s="40">
        <v>1</v>
      </c>
      <c r="L64" s="40">
        <v>1</v>
      </c>
      <c r="M64" s="40">
        <v>1</v>
      </c>
      <c r="N64" s="40">
        <v>1</v>
      </c>
      <c r="O64" s="40">
        <v>1</v>
      </c>
      <c r="P64" s="40">
        <v>1</v>
      </c>
      <c r="Q64" s="38"/>
      <c r="R64" s="39" t="s">
        <v>336</v>
      </c>
      <c r="S64" s="41" t="s">
        <v>294</v>
      </c>
    </row>
    <row r="65" spans="1:19" ht="20.100000000000001" customHeight="1" x14ac:dyDescent="0.25">
      <c r="A65" s="37" t="s">
        <v>337</v>
      </c>
      <c r="B65" s="38" t="s">
        <v>338</v>
      </c>
      <c r="C65" s="39" t="s">
        <v>339</v>
      </c>
      <c r="D65" s="39" t="s">
        <v>340</v>
      </c>
      <c r="E65" s="38" t="s">
        <v>341</v>
      </c>
      <c r="F65" s="38" t="s">
        <v>43</v>
      </c>
      <c r="G65" s="39"/>
      <c r="H65" s="39"/>
      <c r="I65" s="40">
        <v>-100</v>
      </c>
      <c r="J65" s="40">
        <v>-83.333332999999996</v>
      </c>
      <c r="K65" s="40">
        <v>-76.923077000000006</v>
      </c>
      <c r="L65" s="40">
        <v>-71.428571000000005</v>
      </c>
      <c r="M65" s="40">
        <v>-20</v>
      </c>
      <c r="N65" s="40">
        <v>-19.230768999999999</v>
      </c>
      <c r="O65" s="40">
        <v>-18.867925</v>
      </c>
      <c r="P65" s="40">
        <v>-18.518519000000001</v>
      </c>
      <c r="Q65" s="38"/>
      <c r="R65" s="39" t="s">
        <v>342</v>
      </c>
      <c r="S65" s="41" t="s">
        <v>294</v>
      </c>
    </row>
    <row r="66" spans="1:19" ht="20.100000000000001" customHeight="1" x14ac:dyDescent="0.25">
      <c r="A66" s="37" t="s">
        <v>343</v>
      </c>
      <c r="B66" s="38" t="s">
        <v>344</v>
      </c>
      <c r="C66" s="39" t="s">
        <v>345</v>
      </c>
      <c r="D66" s="39" t="s">
        <v>346</v>
      </c>
      <c r="E66" s="38">
        <v>1</v>
      </c>
      <c r="F66" s="38" t="s">
        <v>43</v>
      </c>
      <c r="G66" s="39"/>
      <c r="H66" s="39"/>
      <c r="I66" s="40">
        <v>1.05</v>
      </c>
      <c r="J66" s="40">
        <v>1.06</v>
      </c>
      <c r="K66" s="40">
        <v>1.0649999999999999</v>
      </c>
      <c r="L66" s="40">
        <v>1.07</v>
      </c>
      <c r="M66" s="40">
        <v>1.25</v>
      </c>
      <c r="N66" s="40">
        <v>1.26</v>
      </c>
      <c r="O66" s="40">
        <v>1.2649999999999999</v>
      </c>
      <c r="P66" s="40">
        <v>1.27</v>
      </c>
      <c r="Q66" s="38"/>
      <c r="R66" s="39" t="s">
        <v>347</v>
      </c>
      <c r="S66" s="41" t="s">
        <v>294</v>
      </c>
    </row>
    <row r="67" spans="1:19" ht="20.100000000000001" customHeight="1" x14ac:dyDescent="0.25">
      <c r="A67" s="37" t="s">
        <v>348</v>
      </c>
      <c r="B67" s="38" t="s">
        <v>349</v>
      </c>
      <c r="C67" s="39" t="s">
        <v>350</v>
      </c>
      <c r="D67" s="39" t="s">
        <v>351</v>
      </c>
      <c r="E67" s="38">
        <v>1.25</v>
      </c>
      <c r="F67" s="38"/>
      <c r="G67" s="39"/>
      <c r="H67" s="39"/>
      <c r="I67" s="40">
        <v>1.25</v>
      </c>
      <c r="J67" s="40">
        <v>1.25</v>
      </c>
      <c r="K67" s="40">
        <v>1.25</v>
      </c>
      <c r="L67" s="40">
        <v>1.25</v>
      </c>
      <c r="M67" s="40">
        <v>1.25</v>
      </c>
      <c r="N67" s="40">
        <v>1.25</v>
      </c>
      <c r="O67" s="40">
        <v>1.25</v>
      </c>
      <c r="P67" s="40">
        <v>1.25</v>
      </c>
      <c r="Q67" s="38"/>
      <c r="R67" s="39" t="s">
        <v>351</v>
      </c>
      <c r="S67" s="41" t="s">
        <v>294</v>
      </c>
    </row>
    <row r="68" spans="1:19" ht="20.100000000000001" customHeight="1" x14ac:dyDescent="0.25">
      <c r="A68" s="37" t="s">
        <v>76</v>
      </c>
      <c r="B68" s="38" t="s">
        <v>352</v>
      </c>
      <c r="C68" s="39" t="s">
        <v>353</v>
      </c>
      <c r="D68" s="39" t="s">
        <v>30</v>
      </c>
      <c r="E68" s="38">
        <v>10</v>
      </c>
      <c r="F68" s="38"/>
      <c r="G68" s="39"/>
      <c r="H68" s="39"/>
      <c r="I68" s="40">
        <v>10</v>
      </c>
      <c r="J68" s="40">
        <v>10</v>
      </c>
      <c r="K68" s="40">
        <v>10</v>
      </c>
      <c r="L68" s="40">
        <v>10</v>
      </c>
      <c r="M68" s="40">
        <v>10</v>
      </c>
      <c r="N68" s="40">
        <v>10</v>
      </c>
      <c r="O68" s="40">
        <v>10</v>
      </c>
      <c r="P68" s="40">
        <v>10</v>
      </c>
      <c r="Q68" s="38"/>
      <c r="R68" s="39" t="s">
        <v>30</v>
      </c>
      <c r="S68" s="41" t="s">
        <v>294</v>
      </c>
    </row>
    <row r="69" spans="1:19" ht="20.100000000000001" customHeight="1" x14ac:dyDescent="0.25">
      <c r="A69" s="37" t="s">
        <v>82</v>
      </c>
      <c r="B69" s="38" t="s">
        <v>354</v>
      </c>
      <c r="C69" s="39" t="s">
        <v>355</v>
      </c>
      <c r="D69" s="39" t="s">
        <v>293</v>
      </c>
      <c r="E69" s="38">
        <v>0</v>
      </c>
      <c r="F69" s="38"/>
      <c r="G69" s="39"/>
      <c r="H69" s="39"/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38"/>
      <c r="R69" s="39" t="s">
        <v>293</v>
      </c>
      <c r="S69" s="41" t="s">
        <v>294</v>
      </c>
    </row>
    <row r="70" spans="1:19" ht="20.100000000000001" customHeight="1" x14ac:dyDescent="0.25">
      <c r="A70" s="37" t="s">
        <v>356</v>
      </c>
      <c r="B70" s="38" t="s">
        <v>357</v>
      </c>
      <c r="C70" s="39" t="s">
        <v>358</v>
      </c>
      <c r="D70" s="39" t="s">
        <v>359</v>
      </c>
      <c r="E70" s="38">
        <v>0</v>
      </c>
      <c r="F70" s="38" t="s">
        <v>43</v>
      </c>
      <c r="G70" s="39"/>
      <c r="H70" s="39"/>
      <c r="I70" s="40">
        <v>2</v>
      </c>
      <c r="J70" s="40">
        <v>2.4</v>
      </c>
      <c r="K70" s="40">
        <v>2.6</v>
      </c>
      <c r="L70" s="40">
        <v>2.8</v>
      </c>
      <c r="M70" s="40">
        <v>10</v>
      </c>
      <c r="N70" s="40">
        <v>10.4</v>
      </c>
      <c r="O70" s="40">
        <v>10.6</v>
      </c>
      <c r="P70" s="40">
        <v>10.8</v>
      </c>
      <c r="Q70" s="38"/>
      <c r="R70" s="39" t="s">
        <v>360</v>
      </c>
      <c r="S70" s="41" t="s">
        <v>294</v>
      </c>
    </row>
    <row r="71" spans="1:19" ht="20.100000000000001" customHeight="1" x14ac:dyDescent="0.25">
      <c r="A71" s="37" t="s">
        <v>114</v>
      </c>
      <c r="B71" s="38" t="s">
        <v>361</v>
      </c>
      <c r="C71" s="39" t="s">
        <v>362</v>
      </c>
      <c r="D71" s="39" t="s">
        <v>293</v>
      </c>
      <c r="E71" s="38">
        <v>0</v>
      </c>
      <c r="F71" s="38"/>
      <c r="G71" s="39"/>
      <c r="H71" s="39"/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38"/>
      <c r="R71" s="39" t="s">
        <v>293</v>
      </c>
      <c r="S71" s="41" t="s">
        <v>294</v>
      </c>
    </row>
    <row r="72" spans="1:19" ht="20.100000000000001" customHeight="1" x14ac:dyDescent="0.25">
      <c r="A72" s="37" t="s">
        <v>363</v>
      </c>
      <c r="B72" s="38" t="s">
        <v>364</v>
      </c>
      <c r="C72" s="39" t="s">
        <v>365</v>
      </c>
      <c r="D72" s="39" t="s">
        <v>366</v>
      </c>
      <c r="E72" s="38">
        <v>0</v>
      </c>
      <c r="F72" s="38" t="s">
        <v>302</v>
      </c>
      <c r="G72" s="39" t="s">
        <v>367</v>
      </c>
      <c r="H72" s="39" t="s">
        <v>367</v>
      </c>
      <c r="I72" s="40">
        <v>2.1999999999999999E-2</v>
      </c>
      <c r="J72" s="40">
        <v>2.6880000000000001E-2</v>
      </c>
      <c r="K72" s="40">
        <v>2.938E-2</v>
      </c>
      <c r="L72" s="40">
        <v>3.1919999999999997E-2</v>
      </c>
      <c r="M72" s="40">
        <v>0.15</v>
      </c>
      <c r="N72" s="40">
        <v>0.15808</v>
      </c>
      <c r="O72" s="40">
        <v>0.16217999999999999</v>
      </c>
      <c r="P72" s="40">
        <v>0.16632</v>
      </c>
      <c r="Q72" s="38"/>
      <c r="R72" s="39" t="s">
        <v>368</v>
      </c>
      <c r="S72" s="41" t="s">
        <v>294</v>
      </c>
    </row>
    <row r="73" spans="1:19" ht="20.100000000000001" customHeight="1" x14ac:dyDescent="0.25">
      <c r="A73" s="37" t="s">
        <v>369</v>
      </c>
      <c r="B73" s="38" t="s">
        <v>370</v>
      </c>
      <c r="C73" s="39" t="s">
        <v>371</v>
      </c>
      <c r="D73" s="39" t="s">
        <v>319</v>
      </c>
      <c r="E73" s="38">
        <v>0</v>
      </c>
      <c r="F73" s="38" t="s">
        <v>302</v>
      </c>
      <c r="G73" s="39"/>
      <c r="H73" s="39"/>
      <c r="I73" s="40">
        <v>0.1</v>
      </c>
      <c r="J73" s="40">
        <v>0.12</v>
      </c>
      <c r="K73" s="40">
        <v>0.13</v>
      </c>
      <c r="L73" s="40">
        <v>0.14000000000000001</v>
      </c>
      <c r="M73" s="40">
        <v>0.5</v>
      </c>
      <c r="N73" s="40">
        <v>0.52</v>
      </c>
      <c r="O73" s="40">
        <v>0.53</v>
      </c>
      <c r="P73" s="40">
        <v>0.54</v>
      </c>
      <c r="Q73" s="38"/>
      <c r="R73" s="39" t="s">
        <v>320</v>
      </c>
      <c r="S73" s="41" t="s">
        <v>294</v>
      </c>
    </row>
    <row r="74" spans="1:19" ht="20.100000000000001" customHeight="1" x14ac:dyDescent="0.25">
      <c r="A74" s="37" t="s">
        <v>372</v>
      </c>
      <c r="B74" s="38" t="s">
        <v>373</v>
      </c>
      <c r="C74" s="39" t="s">
        <v>374</v>
      </c>
      <c r="D74" s="39" t="s">
        <v>293</v>
      </c>
      <c r="E74" s="38">
        <v>0</v>
      </c>
      <c r="F74" s="38"/>
      <c r="G74" s="39"/>
      <c r="H74" s="39"/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38"/>
      <c r="R74" s="39" t="s">
        <v>293</v>
      </c>
      <c r="S74" s="41" t="s">
        <v>294</v>
      </c>
    </row>
    <row r="75" spans="1:19" ht="20.100000000000001" customHeight="1" x14ac:dyDescent="0.25">
      <c r="A75" s="37" t="s">
        <v>375</v>
      </c>
      <c r="B75" s="38" t="s">
        <v>376</v>
      </c>
      <c r="C75" s="39" t="s">
        <v>377</v>
      </c>
      <c r="D75" s="39" t="s">
        <v>378</v>
      </c>
      <c r="E75" s="38">
        <v>10</v>
      </c>
      <c r="F75" s="38" t="s">
        <v>43</v>
      </c>
      <c r="G75" s="39" t="s">
        <v>379</v>
      </c>
      <c r="H75" s="39" t="s">
        <v>379</v>
      </c>
      <c r="I75" s="40">
        <v>13</v>
      </c>
      <c r="J75" s="40">
        <v>13.6</v>
      </c>
      <c r="K75" s="40">
        <v>13.9</v>
      </c>
      <c r="L75" s="40">
        <v>14.2</v>
      </c>
      <c r="M75" s="40">
        <v>25</v>
      </c>
      <c r="N75" s="40">
        <v>25.6</v>
      </c>
      <c r="O75" s="40">
        <v>25.9</v>
      </c>
      <c r="P75" s="40">
        <v>26.2</v>
      </c>
      <c r="Q75" s="38"/>
      <c r="R75" s="39" t="s">
        <v>380</v>
      </c>
      <c r="S75" s="41" t="s">
        <v>294</v>
      </c>
    </row>
    <row r="76" spans="1:19" ht="20.100000000000001" customHeight="1" x14ac:dyDescent="0.25">
      <c r="A76" s="37" t="s">
        <v>125</v>
      </c>
      <c r="B76" s="38" t="s">
        <v>381</v>
      </c>
      <c r="C76" s="39" t="s">
        <v>382</v>
      </c>
      <c r="D76" s="39" t="s">
        <v>293</v>
      </c>
      <c r="E76" s="38">
        <v>0</v>
      </c>
      <c r="F76" s="38"/>
      <c r="G76" s="39"/>
      <c r="H76" s="39"/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38"/>
      <c r="R76" s="39" t="s">
        <v>293</v>
      </c>
      <c r="S76" s="41" t="s">
        <v>294</v>
      </c>
    </row>
    <row r="77" spans="1:19" ht="20.100000000000001" customHeight="1" x14ac:dyDescent="0.25">
      <c r="A77" s="37" t="s">
        <v>383</v>
      </c>
      <c r="B77" s="38" t="s">
        <v>384</v>
      </c>
      <c r="C77" s="39" t="s">
        <v>385</v>
      </c>
      <c r="D77" s="39" t="s">
        <v>386</v>
      </c>
      <c r="E77" s="38">
        <v>0.1</v>
      </c>
      <c r="F77" s="38" t="s">
        <v>43</v>
      </c>
      <c r="G77" s="39"/>
      <c r="H77" s="39"/>
      <c r="I77" s="40">
        <v>0.15</v>
      </c>
      <c r="J77" s="40">
        <v>0.16</v>
      </c>
      <c r="K77" s="40">
        <v>0.16500000000000001</v>
      </c>
      <c r="L77" s="40">
        <v>0.17</v>
      </c>
      <c r="M77" s="40">
        <v>0.35</v>
      </c>
      <c r="N77" s="40">
        <v>0.36</v>
      </c>
      <c r="O77" s="40">
        <v>0.36499999999999999</v>
      </c>
      <c r="P77" s="40">
        <v>0.37</v>
      </c>
      <c r="Q77" s="38"/>
      <c r="R77" s="39" t="s">
        <v>387</v>
      </c>
      <c r="S77" s="41" t="s">
        <v>294</v>
      </c>
    </row>
    <row r="78" spans="1:19" ht="20.100000000000001" customHeight="1" x14ac:dyDescent="0.25">
      <c r="A78" s="37" t="s">
        <v>388</v>
      </c>
      <c r="B78" s="38" t="s">
        <v>389</v>
      </c>
      <c r="C78" s="39" t="s">
        <v>390</v>
      </c>
      <c r="D78" s="39" t="s">
        <v>98</v>
      </c>
      <c r="E78" s="38">
        <v>0</v>
      </c>
      <c r="F78" s="38" t="s">
        <v>93</v>
      </c>
      <c r="G78" s="39"/>
      <c r="H78" s="39"/>
      <c r="I78" s="40">
        <v>0.05</v>
      </c>
      <c r="J78" s="40">
        <v>0.06</v>
      </c>
      <c r="K78" s="40">
        <v>6.5000000000000002E-2</v>
      </c>
      <c r="L78" s="40">
        <v>7.0000000000000007E-2</v>
      </c>
      <c r="M78" s="40">
        <v>0.25</v>
      </c>
      <c r="N78" s="40">
        <v>0.26</v>
      </c>
      <c r="O78" s="40">
        <v>0.26500000000000001</v>
      </c>
      <c r="P78" s="40">
        <v>0.27</v>
      </c>
      <c r="Q78" s="38"/>
      <c r="R78" s="39" t="s">
        <v>99</v>
      </c>
      <c r="S78" s="41" t="s">
        <v>294</v>
      </c>
    </row>
    <row r="79" spans="1:19" ht="20.100000000000001" customHeight="1" x14ac:dyDescent="0.25">
      <c r="A79" s="37" t="s">
        <v>391</v>
      </c>
      <c r="B79" s="38" t="s">
        <v>392</v>
      </c>
      <c r="C79" s="39" t="s">
        <v>393</v>
      </c>
      <c r="D79" s="39" t="s">
        <v>394</v>
      </c>
      <c r="E79" s="38">
        <v>0.9</v>
      </c>
      <c r="F79" s="38" t="s">
        <v>93</v>
      </c>
      <c r="G79" s="39" t="s">
        <v>395</v>
      </c>
      <c r="H79" s="39" t="s">
        <v>396</v>
      </c>
      <c r="I79" s="40">
        <v>0.89500000000000002</v>
      </c>
      <c r="J79" s="40">
        <v>0.89400000000000002</v>
      </c>
      <c r="K79" s="40">
        <v>0.89349999999999996</v>
      </c>
      <c r="L79" s="40">
        <v>0.89300000000000002</v>
      </c>
      <c r="M79" s="40">
        <v>0.875</v>
      </c>
      <c r="N79" s="40">
        <v>0.874</v>
      </c>
      <c r="O79" s="40">
        <v>0.87350000000000005</v>
      </c>
      <c r="P79" s="40">
        <v>0.873</v>
      </c>
      <c r="Q79" s="38"/>
      <c r="R79" s="39" t="s">
        <v>397</v>
      </c>
      <c r="S79" s="41" t="s">
        <v>294</v>
      </c>
    </row>
    <row r="80" spans="1:19" ht="20.100000000000001" customHeight="1" x14ac:dyDescent="0.25">
      <c r="A80" s="37" t="s">
        <v>398</v>
      </c>
      <c r="B80" s="38" t="s">
        <v>399</v>
      </c>
      <c r="C80" s="39" t="s">
        <v>400</v>
      </c>
      <c r="D80" s="39" t="s">
        <v>401</v>
      </c>
      <c r="E80" s="38">
        <v>0.1</v>
      </c>
      <c r="F80" s="38" t="s">
        <v>93</v>
      </c>
      <c r="G80" s="39" t="s">
        <v>402</v>
      </c>
      <c r="H80" s="39" t="s">
        <v>402</v>
      </c>
      <c r="I80" s="40">
        <v>0.11</v>
      </c>
      <c r="J80" s="40">
        <v>0.112</v>
      </c>
      <c r="K80" s="40">
        <v>0.113</v>
      </c>
      <c r="L80" s="40">
        <v>0.114</v>
      </c>
      <c r="M80" s="40">
        <v>0.15</v>
      </c>
      <c r="N80" s="40">
        <v>0.152</v>
      </c>
      <c r="O80" s="40">
        <v>0.153</v>
      </c>
      <c r="P80" s="40">
        <v>0.154</v>
      </c>
      <c r="Q80" s="38"/>
      <c r="R80" s="39" t="s">
        <v>403</v>
      </c>
      <c r="S80" s="41" t="s">
        <v>294</v>
      </c>
    </row>
    <row r="81" spans="1:19" ht="20.100000000000001" customHeight="1" x14ac:dyDescent="0.25">
      <c r="A81" s="37" t="s">
        <v>404</v>
      </c>
      <c r="B81" s="38" t="s">
        <v>405</v>
      </c>
      <c r="C81" s="39" t="s">
        <v>406</v>
      </c>
      <c r="D81" s="39" t="s">
        <v>330</v>
      </c>
      <c r="E81" s="38">
        <v>0</v>
      </c>
      <c r="F81" s="38" t="s">
        <v>93</v>
      </c>
      <c r="G81" s="39"/>
      <c r="H81" s="39"/>
      <c r="I81" s="40">
        <v>0.1</v>
      </c>
      <c r="J81" s="40">
        <v>0.12</v>
      </c>
      <c r="K81" s="40">
        <v>0.13</v>
      </c>
      <c r="L81" s="40">
        <v>0.14000000000000001</v>
      </c>
      <c r="M81" s="40">
        <v>0.5</v>
      </c>
      <c r="N81" s="40">
        <v>0.52</v>
      </c>
      <c r="O81" s="40">
        <v>0.53</v>
      </c>
      <c r="P81" s="40">
        <v>0.54</v>
      </c>
      <c r="Q81" s="38"/>
      <c r="R81" s="39" t="s">
        <v>331</v>
      </c>
      <c r="S81" s="41" t="s">
        <v>294</v>
      </c>
    </row>
    <row r="82" spans="1:19" ht="20.100000000000001" customHeight="1" x14ac:dyDescent="0.25">
      <c r="A82" s="37" t="s">
        <v>395</v>
      </c>
      <c r="B82" s="38" t="s">
        <v>407</v>
      </c>
      <c r="C82" s="39" t="s">
        <v>408</v>
      </c>
      <c r="D82" s="39" t="s">
        <v>409</v>
      </c>
      <c r="E82" s="38">
        <v>0.1</v>
      </c>
      <c r="F82" s="38" t="s">
        <v>93</v>
      </c>
      <c r="G82" s="39" t="s">
        <v>410</v>
      </c>
      <c r="H82" s="39" t="s">
        <v>410</v>
      </c>
      <c r="I82" s="40">
        <v>0.105</v>
      </c>
      <c r="J82" s="40">
        <v>0.106</v>
      </c>
      <c r="K82" s="40">
        <v>0.1065</v>
      </c>
      <c r="L82" s="40">
        <v>0.107</v>
      </c>
      <c r="M82" s="40">
        <v>0.125</v>
      </c>
      <c r="N82" s="40">
        <v>0.126</v>
      </c>
      <c r="O82" s="40">
        <v>0.1265</v>
      </c>
      <c r="P82" s="40">
        <v>0.127</v>
      </c>
      <c r="Q82" s="38"/>
      <c r="R82" s="39" t="s">
        <v>411</v>
      </c>
      <c r="S82" s="41" t="s">
        <v>294</v>
      </c>
    </row>
    <row r="83" spans="1:19" ht="20.100000000000001" customHeight="1" x14ac:dyDescent="0.25">
      <c r="A83" s="37" t="s">
        <v>412</v>
      </c>
      <c r="B83" s="38" t="s">
        <v>413</v>
      </c>
      <c r="C83" s="39" t="s">
        <v>414</v>
      </c>
      <c r="D83" s="39" t="s">
        <v>415</v>
      </c>
      <c r="E83" s="38" t="s">
        <v>341</v>
      </c>
      <c r="F83" s="38" t="s">
        <v>43</v>
      </c>
      <c r="G83" s="39"/>
      <c r="H83" s="39"/>
      <c r="I83" s="40">
        <v>-30</v>
      </c>
      <c r="J83" s="40">
        <v>-25</v>
      </c>
      <c r="K83" s="40">
        <v>-23.076923000000001</v>
      </c>
      <c r="L83" s="40">
        <v>-21.428571000000002</v>
      </c>
      <c r="M83" s="40">
        <v>-6</v>
      </c>
      <c r="N83" s="40">
        <v>-5.7692310000000004</v>
      </c>
      <c r="O83" s="40">
        <v>-5.6603770000000004</v>
      </c>
      <c r="P83" s="40">
        <v>-5.5555560000000002</v>
      </c>
      <c r="Q83" s="38"/>
      <c r="R83" s="39" t="s">
        <v>416</v>
      </c>
      <c r="S83" s="41" t="s">
        <v>294</v>
      </c>
    </row>
    <row r="84" spans="1:19" ht="20.100000000000001" customHeight="1" x14ac:dyDescent="0.25">
      <c r="A84" s="37" t="s">
        <v>417</v>
      </c>
      <c r="B84" s="38" t="s">
        <v>418</v>
      </c>
      <c r="C84" s="39" t="s">
        <v>419</v>
      </c>
      <c r="D84" s="39" t="s">
        <v>346</v>
      </c>
      <c r="E84" s="38">
        <v>1</v>
      </c>
      <c r="F84" s="38" t="s">
        <v>43</v>
      </c>
      <c r="G84" s="39"/>
      <c r="H84" s="39"/>
      <c r="I84" s="40">
        <v>1.05</v>
      </c>
      <c r="J84" s="40">
        <v>1.06</v>
      </c>
      <c r="K84" s="40">
        <v>1.0649999999999999</v>
      </c>
      <c r="L84" s="40">
        <v>1.07</v>
      </c>
      <c r="M84" s="40">
        <v>1.25</v>
      </c>
      <c r="N84" s="40">
        <v>1.26</v>
      </c>
      <c r="O84" s="40">
        <v>1.2649999999999999</v>
      </c>
      <c r="P84" s="40">
        <v>1.27</v>
      </c>
      <c r="Q84" s="38"/>
      <c r="R84" s="39" t="s">
        <v>347</v>
      </c>
      <c r="S84" s="41" t="s">
        <v>294</v>
      </c>
    </row>
    <row r="85" spans="1:19" ht="20.100000000000001" customHeight="1" x14ac:dyDescent="0.25">
      <c r="A85" s="37" t="s">
        <v>156</v>
      </c>
      <c r="B85" s="38" t="s">
        <v>420</v>
      </c>
      <c r="C85" s="39" t="s">
        <v>421</v>
      </c>
      <c r="D85" s="39" t="s">
        <v>293</v>
      </c>
      <c r="E85" s="38">
        <v>0</v>
      </c>
      <c r="F85" s="38"/>
      <c r="G85" s="39"/>
      <c r="H85" s="39"/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>
        <v>0</v>
      </c>
      <c r="Q85" s="38"/>
      <c r="R85" s="39" t="s">
        <v>293</v>
      </c>
      <c r="S85" s="41" t="s">
        <v>294</v>
      </c>
    </row>
    <row r="86" spans="1:19" ht="20.100000000000001" customHeight="1" x14ac:dyDescent="0.25">
      <c r="A86" s="37" t="s">
        <v>162</v>
      </c>
      <c r="B86" s="38" t="s">
        <v>422</v>
      </c>
      <c r="C86" s="39" t="s">
        <v>423</v>
      </c>
      <c r="D86" s="39" t="s">
        <v>293</v>
      </c>
      <c r="E86" s="38">
        <v>0</v>
      </c>
      <c r="F86" s="38"/>
      <c r="G86" s="39"/>
      <c r="H86" s="39"/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38"/>
      <c r="R86" s="39" t="s">
        <v>293</v>
      </c>
      <c r="S86" s="41" t="s">
        <v>294</v>
      </c>
    </row>
    <row r="87" spans="1:19" ht="30" customHeight="1" x14ac:dyDescent="0.25">
      <c r="A87" s="37" t="s">
        <v>424</v>
      </c>
      <c r="B87" s="38" t="s">
        <v>425</v>
      </c>
      <c r="C87" s="39" t="s">
        <v>426</v>
      </c>
      <c r="D87" s="39" t="s">
        <v>427</v>
      </c>
      <c r="E87" s="38">
        <v>10</v>
      </c>
      <c r="F87" s="38" t="s">
        <v>43</v>
      </c>
      <c r="G87" s="39" t="s">
        <v>428</v>
      </c>
      <c r="H87" s="39" t="s">
        <v>429</v>
      </c>
      <c r="I87" s="40">
        <v>17.28</v>
      </c>
      <c r="J87" s="40">
        <v>19.066240000000001</v>
      </c>
      <c r="K87" s="40">
        <v>20.00376</v>
      </c>
      <c r="L87" s="40">
        <v>20.971520000000002</v>
      </c>
      <c r="M87" s="40">
        <v>80</v>
      </c>
      <c r="N87" s="40">
        <v>84.896640000000005</v>
      </c>
      <c r="O87" s="40">
        <v>87.41816</v>
      </c>
      <c r="P87" s="40">
        <v>89.98912</v>
      </c>
      <c r="Q87" s="38"/>
      <c r="R87" s="39" t="s">
        <v>430</v>
      </c>
      <c r="S87" s="41" t="s">
        <v>294</v>
      </c>
    </row>
    <row r="88" spans="1:19" ht="20.100000000000001" customHeight="1" x14ac:dyDescent="0.25">
      <c r="A88" s="37" t="s">
        <v>431</v>
      </c>
      <c r="B88" s="38" t="s">
        <v>432</v>
      </c>
      <c r="C88" s="39" t="s">
        <v>433</v>
      </c>
      <c r="D88" s="39" t="s">
        <v>189</v>
      </c>
      <c r="E88" s="38">
        <v>1000</v>
      </c>
      <c r="F88" s="38"/>
      <c r="G88" s="39"/>
      <c r="H88" s="39"/>
      <c r="I88" s="40">
        <v>1000</v>
      </c>
      <c r="J88" s="40">
        <v>1000</v>
      </c>
      <c r="K88" s="40">
        <v>1000</v>
      </c>
      <c r="L88" s="40">
        <v>1000</v>
      </c>
      <c r="M88" s="40">
        <v>1000</v>
      </c>
      <c r="N88" s="40">
        <v>1000</v>
      </c>
      <c r="O88" s="40">
        <v>1000</v>
      </c>
      <c r="P88" s="40">
        <v>1000</v>
      </c>
      <c r="Q88" s="38"/>
      <c r="R88" s="39" t="s">
        <v>189</v>
      </c>
      <c r="S88" s="41" t="s">
        <v>294</v>
      </c>
    </row>
    <row r="89" spans="1:19" ht="20.100000000000001" customHeight="1" x14ac:dyDescent="0.25">
      <c r="A89" s="37" t="s">
        <v>434</v>
      </c>
      <c r="B89" s="38" t="s">
        <v>435</v>
      </c>
      <c r="C89" s="39" t="s">
        <v>436</v>
      </c>
      <c r="D89" s="39" t="s">
        <v>189</v>
      </c>
      <c r="E89" s="38">
        <v>1000</v>
      </c>
      <c r="F89" s="38"/>
      <c r="G89" s="39"/>
      <c r="H89" s="39"/>
      <c r="I89" s="40">
        <v>1000</v>
      </c>
      <c r="J89" s="40">
        <v>1000</v>
      </c>
      <c r="K89" s="40">
        <v>1000</v>
      </c>
      <c r="L89" s="40">
        <v>1000</v>
      </c>
      <c r="M89" s="40">
        <v>1000</v>
      </c>
      <c r="N89" s="40">
        <v>1000</v>
      </c>
      <c r="O89" s="40">
        <v>1000</v>
      </c>
      <c r="P89" s="40">
        <v>1000</v>
      </c>
      <c r="Q89" s="38"/>
      <c r="R89" s="39" t="s">
        <v>189</v>
      </c>
      <c r="S89" s="41" t="s">
        <v>294</v>
      </c>
    </row>
    <row r="90" spans="1:19" ht="20.100000000000001" customHeight="1" x14ac:dyDescent="0.25">
      <c r="A90" s="37" t="s">
        <v>437</v>
      </c>
      <c r="B90" s="38" t="s">
        <v>438</v>
      </c>
      <c r="C90" s="39" t="s">
        <v>439</v>
      </c>
      <c r="D90" s="39" t="s">
        <v>189</v>
      </c>
      <c r="E90" s="38">
        <v>1000</v>
      </c>
      <c r="F90" s="38"/>
      <c r="G90" s="39"/>
      <c r="H90" s="39"/>
      <c r="I90" s="40">
        <v>1000</v>
      </c>
      <c r="J90" s="40">
        <v>1000</v>
      </c>
      <c r="K90" s="40">
        <v>1000</v>
      </c>
      <c r="L90" s="40">
        <v>1000</v>
      </c>
      <c r="M90" s="40">
        <v>1000</v>
      </c>
      <c r="N90" s="40">
        <v>1000</v>
      </c>
      <c r="O90" s="40">
        <v>1000</v>
      </c>
      <c r="P90" s="40">
        <v>1000</v>
      </c>
      <c r="Q90" s="38"/>
      <c r="R90" s="39" t="s">
        <v>189</v>
      </c>
      <c r="S90" s="41" t="s">
        <v>294</v>
      </c>
    </row>
    <row r="91" spans="1:19" ht="20.100000000000001" customHeight="1" x14ac:dyDescent="0.25">
      <c r="A91" s="37" t="s">
        <v>440</v>
      </c>
      <c r="B91" s="38" t="s">
        <v>441</v>
      </c>
      <c r="C91" s="39" t="s">
        <v>442</v>
      </c>
      <c r="D91" s="39" t="s">
        <v>189</v>
      </c>
      <c r="E91" s="38">
        <v>1000</v>
      </c>
      <c r="F91" s="38"/>
      <c r="G91" s="39"/>
      <c r="H91" s="39"/>
      <c r="I91" s="40">
        <v>1000</v>
      </c>
      <c r="J91" s="40">
        <v>1000</v>
      </c>
      <c r="K91" s="40">
        <v>1000</v>
      </c>
      <c r="L91" s="40">
        <v>1000</v>
      </c>
      <c r="M91" s="40">
        <v>1000</v>
      </c>
      <c r="N91" s="40">
        <v>1000</v>
      </c>
      <c r="O91" s="40">
        <v>1000</v>
      </c>
      <c r="P91" s="40">
        <v>1000</v>
      </c>
      <c r="Q91" s="38"/>
      <c r="R91" s="39" t="s">
        <v>189</v>
      </c>
      <c r="S91" s="41" t="s">
        <v>294</v>
      </c>
    </row>
    <row r="92" spans="1:19" ht="20.100000000000001" customHeight="1" x14ac:dyDescent="0.25">
      <c r="A92" s="37" t="s">
        <v>443</v>
      </c>
      <c r="B92" s="38" t="s">
        <v>444</v>
      </c>
      <c r="C92" s="39" t="s">
        <v>445</v>
      </c>
      <c r="D92" s="39" t="s">
        <v>189</v>
      </c>
      <c r="E92" s="38">
        <v>1000</v>
      </c>
      <c r="F92" s="38"/>
      <c r="G92" s="39"/>
      <c r="H92" s="39"/>
      <c r="I92" s="40">
        <v>1000</v>
      </c>
      <c r="J92" s="40">
        <v>1000</v>
      </c>
      <c r="K92" s="40">
        <v>1000</v>
      </c>
      <c r="L92" s="40">
        <v>1000</v>
      </c>
      <c r="M92" s="40">
        <v>1000</v>
      </c>
      <c r="N92" s="40">
        <v>1000</v>
      </c>
      <c r="O92" s="40">
        <v>1000</v>
      </c>
      <c r="P92" s="40">
        <v>1000</v>
      </c>
      <c r="Q92" s="38"/>
      <c r="R92" s="39" t="s">
        <v>189</v>
      </c>
      <c r="S92" s="41" t="s">
        <v>294</v>
      </c>
    </row>
    <row r="93" spans="1:19" ht="20.100000000000001" customHeight="1" x14ac:dyDescent="0.25">
      <c r="A93" s="37" t="s">
        <v>44</v>
      </c>
      <c r="B93" s="38" t="s">
        <v>446</v>
      </c>
      <c r="C93" s="39" t="s">
        <v>447</v>
      </c>
      <c r="D93" s="39" t="s">
        <v>448</v>
      </c>
      <c r="E93" s="38">
        <v>5000</v>
      </c>
      <c r="F93" s="38" t="s">
        <v>43</v>
      </c>
      <c r="G93" s="39" t="s">
        <v>449</v>
      </c>
      <c r="H93" s="39" t="s">
        <v>449</v>
      </c>
      <c r="I93" s="40">
        <v>7200</v>
      </c>
      <c r="J93" s="40">
        <v>7688</v>
      </c>
      <c r="K93" s="40">
        <v>7938</v>
      </c>
      <c r="L93" s="40">
        <v>8192</v>
      </c>
      <c r="M93" s="40">
        <v>20000</v>
      </c>
      <c r="N93" s="40">
        <v>20808</v>
      </c>
      <c r="O93" s="40">
        <v>21218</v>
      </c>
      <c r="P93" s="40">
        <v>21632</v>
      </c>
      <c r="Q93" s="38"/>
      <c r="R93" s="39" t="s">
        <v>450</v>
      </c>
      <c r="S93" s="41" t="s">
        <v>294</v>
      </c>
    </row>
    <row r="94" spans="1:19" ht="20.100000000000001" customHeight="1" x14ac:dyDescent="0.25">
      <c r="A94" s="37" t="s">
        <v>451</v>
      </c>
      <c r="B94" s="38" t="s">
        <v>452</v>
      </c>
      <c r="C94" s="39"/>
      <c r="D94" s="39" t="s">
        <v>453</v>
      </c>
      <c r="E94" s="38">
        <v>20.100000000000001</v>
      </c>
      <c r="F94" s="38"/>
      <c r="G94" s="39"/>
      <c r="H94" s="39"/>
      <c r="I94" s="40">
        <v>20.100000000000001</v>
      </c>
      <c r="J94" s="40">
        <v>20.100000000000001</v>
      </c>
      <c r="K94" s="40">
        <v>20.100000000000001</v>
      </c>
      <c r="L94" s="40">
        <v>20.100000000000001</v>
      </c>
      <c r="M94" s="40">
        <v>20.100000000000001</v>
      </c>
      <c r="N94" s="40">
        <v>20.100000000000001</v>
      </c>
      <c r="O94" s="40">
        <v>20.100000000000001</v>
      </c>
      <c r="P94" s="40">
        <v>20.100000000000001</v>
      </c>
      <c r="Q94" s="38"/>
      <c r="R94" s="39" t="s">
        <v>453</v>
      </c>
      <c r="S94" s="41" t="s">
        <v>294</v>
      </c>
    </row>
    <row r="95" spans="1:19" ht="20.100000000000001" customHeight="1" x14ac:dyDescent="0.25">
      <c r="A95" s="37" t="s">
        <v>205</v>
      </c>
      <c r="B95" s="38" t="s">
        <v>454</v>
      </c>
      <c r="C95" s="39" t="s">
        <v>455</v>
      </c>
      <c r="D95" s="39" t="s">
        <v>293</v>
      </c>
      <c r="E95" s="38">
        <v>0</v>
      </c>
      <c r="F95" s="38"/>
      <c r="G95" s="39"/>
      <c r="H95" s="39"/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  <c r="P95" s="40">
        <v>0</v>
      </c>
      <c r="Q95" s="38"/>
      <c r="R95" s="39" t="s">
        <v>293</v>
      </c>
      <c r="S95" s="41" t="s">
        <v>294</v>
      </c>
    </row>
    <row r="96" spans="1:19" ht="20.100000000000001" customHeight="1" x14ac:dyDescent="0.25">
      <c r="A96" s="37" t="s">
        <v>456</v>
      </c>
      <c r="B96" s="38" t="s">
        <v>457</v>
      </c>
      <c r="C96" s="39"/>
      <c r="D96" s="39" t="s">
        <v>458</v>
      </c>
      <c r="E96" s="38">
        <v>60</v>
      </c>
      <c r="F96" s="38"/>
      <c r="G96" s="39"/>
      <c r="H96" s="39"/>
      <c r="I96" s="40">
        <v>60</v>
      </c>
      <c r="J96" s="40">
        <v>60</v>
      </c>
      <c r="K96" s="40">
        <v>60</v>
      </c>
      <c r="L96" s="40">
        <v>60</v>
      </c>
      <c r="M96" s="40">
        <v>60</v>
      </c>
      <c r="N96" s="40">
        <v>60</v>
      </c>
      <c r="O96" s="40">
        <v>60</v>
      </c>
      <c r="P96" s="40">
        <v>60</v>
      </c>
      <c r="Q96" s="38"/>
      <c r="R96" s="39" t="s">
        <v>458</v>
      </c>
      <c r="S96" s="41" t="s">
        <v>294</v>
      </c>
    </row>
    <row r="97" spans="1:19" ht="20.100000000000001" customHeight="1" x14ac:dyDescent="0.25">
      <c r="A97" s="37" t="s">
        <v>459</v>
      </c>
      <c r="B97" s="38" t="s">
        <v>460</v>
      </c>
      <c r="C97" s="39" t="s">
        <v>461</v>
      </c>
      <c r="D97" s="39" t="s">
        <v>462</v>
      </c>
      <c r="E97" s="38">
        <v>0.05</v>
      </c>
      <c r="F97" s="38"/>
      <c r="G97" s="39"/>
      <c r="H97" s="39"/>
      <c r="I97" s="40">
        <v>0.05</v>
      </c>
      <c r="J97" s="40">
        <v>0.05</v>
      </c>
      <c r="K97" s="40">
        <v>0.05</v>
      </c>
      <c r="L97" s="40">
        <v>0.05</v>
      </c>
      <c r="M97" s="40">
        <v>0.05</v>
      </c>
      <c r="N97" s="40">
        <v>0.05</v>
      </c>
      <c r="O97" s="40">
        <v>0.05</v>
      </c>
      <c r="P97" s="40">
        <v>0.05</v>
      </c>
      <c r="Q97" s="38"/>
      <c r="R97" s="39" t="s">
        <v>462</v>
      </c>
      <c r="S97" s="41" t="s">
        <v>294</v>
      </c>
    </row>
    <row r="98" spans="1:19" ht="20.100000000000001" customHeight="1" x14ac:dyDescent="0.25">
      <c r="A98" s="37" t="s">
        <v>463</v>
      </c>
      <c r="B98" s="38" t="s">
        <v>464</v>
      </c>
      <c r="C98" s="39" t="s">
        <v>465</v>
      </c>
      <c r="D98" s="39" t="s">
        <v>293</v>
      </c>
      <c r="E98" s="38">
        <v>0</v>
      </c>
      <c r="F98" s="38"/>
      <c r="G98" s="39"/>
      <c r="H98" s="39"/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38"/>
      <c r="R98" s="39" t="s">
        <v>293</v>
      </c>
      <c r="S98" s="41" t="s">
        <v>294</v>
      </c>
    </row>
    <row r="99" spans="1:19" ht="20.100000000000001" customHeight="1" x14ac:dyDescent="0.25">
      <c r="A99" s="37" t="s">
        <v>242</v>
      </c>
      <c r="B99" s="38" t="s">
        <v>466</v>
      </c>
      <c r="C99" s="39" t="s">
        <v>467</v>
      </c>
      <c r="D99" s="39" t="s">
        <v>293</v>
      </c>
      <c r="E99" s="38">
        <v>0</v>
      </c>
      <c r="F99" s="38"/>
      <c r="G99" s="39"/>
      <c r="H99" s="39"/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38"/>
      <c r="R99" s="39" t="s">
        <v>293</v>
      </c>
      <c r="S99" s="41" t="s">
        <v>294</v>
      </c>
    </row>
    <row r="100" spans="1:19" ht="20.100000000000001" customHeight="1" x14ac:dyDescent="0.25">
      <c r="A100" s="37" t="s">
        <v>248</v>
      </c>
      <c r="B100" s="38" t="s">
        <v>468</v>
      </c>
      <c r="C100" s="39" t="s">
        <v>469</v>
      </c>
      <c r="D100" s="39" t="s">
        <v>293</v>
      </c>
      <c r="E100" s="38">
        <v>0</v>
      </c>
      <c r="F100" s="38"/>
      <c r="G100" s="39"/>
      <c r="H100" s="39"/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38"/>
      <c r="R100" s="39" t="s">
        <v>293</v>
      </c>
      <c r="S100" s="41" t="s">
        <v>294</v>
      </c>
    </row>
    <row r="101" spans="1:19" ht="20.100000000000001" customHeight="1" x14ac:dyDescent="0.25">
      <c r="A101" s="37" t="s">
        <v>254</v>
      </c>
      <c r="B101" s="38" t="s">
        <v>470</v>
      </c>
      <c r="C101" s="39" t="s">
        <v>471</v>
      </c>
      <c r="D101" s="39" t="s">
        <v>293</v>
      </c>
      <c r="E101" s="38">
        <v>0</v>
      </c>
      <c r="F101" s="38"/>
      <c r="G101" s="39"/>
      <c r="H101" s="39"/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v>0</v>
      </c>
      <c r="Q101" s="38"/>
      <c r="R101" s="39" t="s">
        <v>293</v>
      </c>
      <c r="S101" s="41" t="s">
        <v>294</v>
      </c>
    </row>
    <row r="102" spans="1:19" ht="20.100000000000001" customHeight="1" x14ac:dyDescent="0.25">
      <c r="A102" s="37" t="s">
        <v>260</v>
      </c>
      <c r="B102" s="38" t="s">
        <v>472</v>
      </c>
      <c r="C102" s="39" t="s">
        <v>473</v>
      </c>
      <c r="D102" s="39" t="s">
        <v>293</v>
      </c>
      <c r="E102" s="38">
        <v>0</v>
      </c>
      <c r="F102" s="38"/>
      <c r="G102" s="39"/>
      <c r="H102" s="39"/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38"/>
      <c r="R102" s="39" t="s">
        <v>293</v>
      </c>
      <c r="S102" s="41" t="s">
        <v>294</v>
      </c>
    </row>
    <row r="103" spans="1:19" ht="20.100000000000001" customHeight="1" x14ac:dyDescent="0.25">
      <c r="A103" s="37" t="s">
        <v>272</v>
      </c>
      <c r="B103" s="38" t="s">
        <v>474</v>
      </c>
      <c r="C103" s="39" t="s">
        <v>475</v>
      </c>
      <c r="D103" s="39" t="s">
        <v>293</v>
      </c>
      <c r="E103" s="38">
        <v>0</v>
      </c>
      <c r="F103" s="38"/>
      <c r="G103" s="39"/>
      <c r="H103" s="39"/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0">
        <v>0</v>
      </c>
      <c r="O103" s="40">
        <v>0</v>
      </c>
      <c r="P103" s="40">
        <v>0</v>
      </c>
      <c r="Q103" s="38"/>
      <c r="R103" s="39" t="s">
        <v>293</v>
      </c>
      <c r="S103" s="41" t="s">
        <v>294</v>
      </c>
    </row>
    <row r="104" spans="1:19" ht="20.100000000000001" customHeight="1" x14ac:dyDescent="0.25">
      <c r="A104" s="37" t="s">
        <v>476</v>
      </c>
      <c r="B104" s="38" t="s">
        <v>477</v>
      </c>
      <c r="C104" s="39"/>
      <c r="D104" s="39" t="s">
        <v>478</v>
      </c>
      <c r="E104" s="38">
        <v>5.5</v>
      </c>
      <c r="F104" s="38"/>
      <c r="G104" s="39"/>
      <c r="H104" s="39"/>
      <c r="I104" s="40">
        <v>5.5</v>
      </c>
      <c r="J104" s="40">
        <v>5.5</v>
      </c>
      <c r="K104" s="40">
        <v>5.5</v>
      </c>
      <c r="L104" s="40">
        <v>5.5</v>
      </c>
      <c r="M104" s="40">
        <v>5.5</v>
      </c>
      <c r="N104" s="40">
        <v>5.5</v>
      </c>
      <c r="O104" s="40">
        <v>5.5</v>
      </c>
      <c r="P104" s="40">
        <v>5.5</v>
      </c>
      <c r="Q104" s="38"/>
      <c r="R104" s="39" t="s">
        <v>478</v>
      </c>
      <c r="S104" s="41" t="s">
        <v>294</v>
      </c>
    </row>
    <row r="105" spans="1:19" ht="20.100000000000001" customHeight="1" x14ac:dyDescent="0.25">
      <c r="A105" s="37" t="s">
        <v>283</v>
      </c>
      <c r="B105" s="38" t="s">
        <v>479</v>
      </c>
      <c r="C105" s="39" t="s">
        <v>480</v>
      </c>
      <c r="D105" s="39" t="s">
        <v>293</v>
      </c>
      <c r="E105" s="38">
        <v>0</v>
      </c>
      <c r="F105" s="38"/>
      <c r="G105" s="39"/>
      <c r="H105" s="39"/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40">
        <v>0</v>
      </c>
      <c r="Q105" s="38"/>
      <c r="R105" s="39" t="s">
        <v>293</v>
      </c>
      <c r="S105" s="41" t="s">
        <v>294</v>
      </c>
    </row>
    <row r="106" spans="1:19" ht="20.100000000000001" customHeight="1" x14ac:dyDescent="0.25">
      <c r="A106" s="37" t="s">
        <v>481</v>
      </c>
      <c r="B106" s="38" t="s">
        <v>482</v>
      </c>
      <c r="C106" s="39" t="s">
        <v>483</v>
      </c>
      <c r="D106" s="39" t="s">
        <v>293</v>
      </c>
      <c r="E106" s="38">
        <v>0</v>
      </c>
      <c r="F106" s="38"/>
      <c r="G106" s="39"/>
      <c r="H106" s="39"/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38"/>
      <c r="R106" s="39" t="s">
        <v>293</v>
      </c>
      <c r="S106" s="41" t="s">
        <v>294</v>
      </c>
    </row>
    <row r="107" spans="1:19" ht="20.100000000000001" customHeight="1" x14ac:dyDescent="0.25">
      <c r="A107" s="37" t="s">
        <v>658</v>
      </c>
      <c r="B107" s="38" t="s">
        <v>266</v>
      </c>
      <c r="C107" s="39" t="s">
        <v>484</v>
      </c>
      <c r="D107" s="39" t="s">
        <v>293</v>
      </c>
      <c r="E107" s="38">
        <v>0</v>
      </c>
      <c r="F107" s="38"/>
      <c r="G107" s="39"/>
      <c r="H107" s="39"/>
      <c r="I107" s="40">
        <v>10</v>
      </c>
      <c r="J107" s="40">
        <v>12</v>
      </c>
      <c r="K107" s="40">
        <v>13</v>
      </c>
      <c r="L107" s="40">
        <v>14</v>
      </c>
      <c r="M107" s="40">
        <v>50</v>
      </c>
      <c r="N107" s="40">
        <v>52</v>
      </c>
      <c r="O107" s="40">
        <v>53</v>
      </c>
      <c r="P107" s="40">
        <v>54</v>
      </c>
      <c r="Q107" s="38" t="s">
        <v>24</v>
      </c>
      <c r="R107" s="39" t="s">
        <v>293</v>
      </c>
      <c r="S107" s="41" t="s">
        <v>485</v>
      </c>
    </row>
    <row r="108" spans="1:19" ht="20.100000000000001" customHeight="1" x14ac:dyDescent="0.25">
      <c r="A108" s="37" t="s">
        <v>659</v>
      </c>
      <c r="B108" s="38" t="s">
        <v>104</v>
      </c>
      <c r="C108" s="39" t="s">
        <v>486</v>
      </c>
      <c r="D108" s="39" t="s">
        <v>293</v>
      </c>
      <c r="E108" s="38">
        <v>0</v>
      </c>
      <c r="F108" s="38"/>
      <c r="G108" s="39"/>
      <c r="H108" s="39"/>
      <c r="I108" s="40">
        <v>10</v>
      </c>
      <c r="J108" s="40">
        <v>12</v>
      </c>
      <c r="K108" s="40">
        <v>13</v>
      </c>
      <c r="L108" s="40">
        <v>14</v>
      </c>
      <c r="M108" s="40">
        <v>50</v>
      </c>
      <c r="N108" s="40">
        <v>52</v>
      </c>
      <c r="O108" s="40">
        <v>53</v>
      </c>
      <c r="P108" s="40">
        <v>54</v>
      </c>
      <c r="Q108" s="38" t="s">
        <v>24</v>
      </c>
      <c r="R108" s="39" t="s">
        <v>293</v>
      </c>
      <c r="S108" s="41" t="s">
        <v>485</v>
      </c>
    </row>
    <row r="109" spans="1:19" ht="20.100000000000001" customHeight="1" x14ac:dyDescent="0.25">
      <c r="A109" s="37" t="s">
        <v>660</v>
      </c>
      <c r="B109" s="38" t="s">
        <v>61</v>
      </c>
      <c r="C109" s="39" t="s">
        <v>487</v>
      </c>
      <c r="D109" s="39" t="s">
        <v>293</v>
      </c>
      <c r="E109" s="38">
        <v>0</v>
      </c>
      <c r="F109" s="38"/>
      <c r="G109" s="39"/>
      <c r="H109" s="39"/>
      <c r="I109" s="40">
        <v>10</v>
      </c>
      <c r="J109" s="40">
        <v>12</v>
      </c>
      <c r="K109" s="40">
        <v>13</v>
      </c>
      <c r="L109" s="40">
        <v>14</v>
      </c>
      <c r="M109" s="40">
        <v>50</v>
      </c>
      <c r="N109" s="40">
        <v>52</v>
      </c>
      <c r="O109" s="40">
        <v>53</v>
      </c>
      <c r="P109" s="40">
        <v>54</v>
      </c>
      <c r="Q109" s="38" t="s">
        <v>24</v>
      </c>
      <c r="R109" s="39" t="s">
        <v>293</v>
      </c>
      <c r="S109" s="41" t="s">
        <v>485</v>
      </c>
    </row>
    <row r="110" spans="1:19" ht="20.100000000000001" customHeight="1" x14ac:dyDescent="0.25">
      <c r="A110" s="37" t="s">
        <v>661</v>
      </c>
      <c r="B110" s="38" t="s">
        <v>302</v>
      </c>
      <c r="C110" s="39" t="s">
        <v>488</v>
      </c>
      <c r="D110" s="39" t="s">
        <v>293</v>
      </c>
      <c r="E110" s="38">
        <v>0</v>
      </c>
      <c r="F110" s="38"/>
      <c r="G110" s="39"/>
      <c r="H110" s="39"/>
      <c r="I110" s="40">
        <v>10</v>
      </c>
      <c r="J110" s="40">
        <v>12</v>
      </c>
      <c r="K110" s="40">
        <v>13</v>
      </c>
      <c r="L110" s="40">
        <v>14</v>
      </c>
      <c r="M110" s="40">
        <v>50</v>
      </c>
      <c r="N110" s="40">
        <v>52</v>
      </c>
      <c r="O110" s="40">
        <v>53</v>
      </c>
      <c r="P110" s="40">
        <v>54</v>
      </c>
      <c r="Q110" s="38" t="s">
        <v>24</v>
      </c>
      <c r="R110" s="39" t="s">
        <v>293</v>
      </c>
      <c r="S110" s="41" t="s">
        <v>485</v>
      </c>
    </row>
    <row r="111" spans="1:19" ht="20.100000000000001" customHeight="1" x14ac:dyDescent="0.25">
      <c r="A111" s="37" t="s">
        <v>662</v>
      </c>
      <c r="B111" s="38" t="s">
        <v>93</v>
      </c>
      <c r="C111" s="39" t="s">
        <v>489</v>
      </c>
      <c r="D111" s="39" t="s">
        <v>293</v>
      </c>
      <c r="E111" s="38">
        <v>0</v>
      </c>
      <c r="F111" s="38"/>
      <c r="G111" s="39"/>
      <c r="H111" s="39"/>
      <c r="I111" s="40">
        <v>10</v>
      </c>
      <c r="J111" s="40">
        <v>12</v>
      </c>
      <c r="K111" s="40">
        <v>13</v>
      </c>
      <c r="L111" s="40">
        <v>14</v>
      </c>
      <c r="M111" s="40">
        <v>50</v>
      </c>
      <c r="N111" s="40">
        <v>52</v>
      </c>
      <c r="O111" s="40">
        <v>53</v>
      </c>
      <c r="P111" s="40">
        <v>54</v>
      </c>
      <c r="Q111" s="38" t="s">
        <v>24</v>
      </c>
      <c r="R111" s="39" t="s">
        <v>293</v>
      </c>
      <c r="S111" s="41" t="s">
        <v>485</v>
      </c>
    </row>
    <row r="112" spans="1:19" ht="20.100000000000001" customHeight="1" x14ac:dyDescent="0.25">
      <c r="A112" s="37" t="s">
        <v>663</v>
      </c>
      <c r="B112" s="38" t="s">
        <v>43</v>
      </c>
      <c r="C112" s="39" t="s">
        <v>490</v>
      </c>
      <c r="D112" s="39" t="s">
        <v>293</v>
      </c>
      <c r="E112" s="38">
        <v>0</v>
      </c>
      <c r="F112" s="38"/>
      <c r="G112" s="39"/>
      <c r="H112" s="39"/>
      <c r="I112" s="40">
        <v>10</v>
      </c>
      <c r="J112" s="40">
        <v>12</v>
      </c>
      <c r="K112" s="40">
        <v>13</v>
      </c>
      <c r="L112" s="40">
        <v>14</v>
      </c>
      <c r="M112" s="40">
        <v>50</v>
      </c>
      <c r="N112" s="40">
        <v>52</v>
      </c>
      <c r="O112" s="40">
        <v>53</v>
      </c>
      <c r="P112" s="40">
        <v>54</v>
      </c>
      <c r="Q112" s="38" t="s">
        <v>24</v>
      </c>
      <c r="R112" s="39" t="s">
        <v>293</v>
      </c>
      <c r="S112" s="41" t="s">
        <v>485</v>
      </c>
    </row>
    <row r="113" spans="1:19" ht="20.100000000000001" customHeight="1" x14ac:dyDescent="0.25">
      <c r="A113" s="37" t="s">
        <v>664</v>
      </c>
      <c r="B113" s="38" t="s">
        <v>289</v>
      </c>
      <c r="C113" s="39" t="s">
        <v>491</v>
      </c>
      <c r="D113" s="39" t="s">
        <v>293</v>
      </c>
      <c r="E113" s="38">
        <v>0</v>
      </c>
      <c r="F113" s="38"/>
      <c r="G113" s="39"/>
      <c r="H113" s="39"/>
      <c r="I113" s="40">
        <v>10</v>
      </c>
      <c r="J113" s="40">
        <v>12</v>
      </c>
      <c r="K113" s="40">
        <v>13</v>
      </c>
      <c r="L113" s="40">
        <v>14</v>
      </c>
      <c r="M113" s="40">
        <v>50</v>
      </c>
      <c r="N113" s="40">
        <v>52</v>
      </c>
      <c r="O113" s="40">
        <v>53</v>
      </c>
      <c r="P113" s="40">
        <v>54</v>
      </c>
      <c r="Q113" s="38" t="s">
        <v>24</v>
      </c>
      <c r="R113" s="39" t="s">
        <v>293</v>
      </c>
      <c r="S113" s="41" t="s">
        <v>485</v>
      </c>
    </row>
    <row r="114" spans="1:19" ht="20.100000000000001" customHeight="1" x14ac:dyDescent="0.25">
      <c r="A114" s="37" t="s">
        <v>665</v>
      </c>
      <c r="B114" s="38" t="s">
        <v>35</v>
      </c>
      <c r="C114" s="39" t="s">
        <v>492</v>
      </c>
      <c r="D114" s="39" t="s">
        <v>293</v>
      </c>
      <c r="E114" s="38">
        <v>0</v>
      </c>
      <c r="F114" s="38"/>
      <c r="G114" s="39"/>
      <c r="H114" s="39"/>
      <c r="I114" s="40">
        <v>10</v>
      </c>
      <c r="J114" s="40">
        <v>12</v>
      </c>
      <c r="K114" s="40">
        <v>13</v>
      </c>
      <c r="L114" s="40">
        <v>14</v>
      </c>
      <c r="M114" s="40">
        <v>50</v>
      </c>
      <c r="N114" s="40">
        <v>52</v>
      </c>
      <c r="O114" s="40">
        <v>53</v>
      </c>
      <c r="P114" s="40">
        <v>54</v>
      </c>
      <c r="Q114" s="38" t="s">
        <v>24</v>
      </c>
      <c r="R114" s="39" t="s">
        <v>293</v>
      </c>
      <c r="S114" s="41" t="s">
        <v>485</v>
      </c>
    </row>
    <row r="115" spans="1:19" ht="20.100000000000001" customHeight="1" x14ac:dyDescent="0.25">
      <c r="A115" s="42" t="s">
        <v>666</v>
      </c>
      <c r="B115" s="43" t="s">
        <v>224</v>
      </c>
      <c r="C115" s="44" t="s">
        <v>493</v>
      </c>
      <c r="D115" s="44" t="s">
        <v>293</v>
      </c>
      <c r="E115" s="43">
        <v>0</v>
      </c>
      <c r="F115" s="43"/>
      <c r="G115" s="44"/>
      <c r="H115" s="44"/>
      <c r="I115" s="45">
        <v>10</v>
      </c>
      <c r="J115" s="45">
        <v>12</v>
      </c>
      <c r="K115" s="45">
        <v>13</v>
      </c>
      <c r="L115" s="45">
        <v>14</v>
      </c>
      <c r="M115" s="45">
        <v>50</v>
      </c>
      <c r="N115" s="45">
        <v>52</v>
      </c>
      <c r="O115" s="45">
        <v>53</v>
      </c>
      <c r="P115" s="45">
        <v>54</v>
      </c>
      <c r="Q115" s="43" t="s">
        <v>24</v>
      </c>
      <c r="R115" s="44" t="s">
        <v>293</v>
      </c>
      <c r="S115" s="46" t="s">
        <v>485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/>
  </sheetViews>
  <sheetFormatPr defaultRowHeight="15" x14ac:dyDescent="0.25"/>
  <sheetData>
    <row r="1" spans="1:12" x14ac:dyDescent="0.25">
      <c r="A1" t="s">
        <v>494</v>
      </c>
      <c r="B1" t="s">
        <v>495</v>
      </c>
      <c r="C1" t="s">
        <v>496</v>
      </c>
      <c r="D1" t="s">
        <v>266</v>
      </c>
      <c r="E1" t="s">
        <v>104</v>
      </c>
      <c r="F1" t="s">
        <v>61</v>
      </c>
      <c r="G1" t="s">
        <v>302</v>
      </c>
      <c r="H1" t="s">
        <v>93</v>
      </c>
      <c r="I1" t="s">
        <v>43</v>
      </c>
      <c r="J1" t="s">
        <v>289</v>
      </c>
      <c r="K1" t="s">
        <v>35</v>
      </c>
      <c r="L1" t="s">
        <v>224</v>
      </c>
    </row>
    <row r="2" spans="1:12" x14ac:dyDescent="0.25">
      <c r="A2" t="s">
        <v>497</v>
      </c>
      <c r="B2" t="s">
        <v>498</v>
      </c>
      <c r="C2" t="s">
        <v>499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500</v>
      </c>
      <c r="B3" t="s">
        <v>501</v>
      </c>
      <c r="C3" t="s">
        <v>502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3</v>
      </c>
    </row>
    <row r="4" spans="1:12" x14ac:dyDescent="0.25">
      <c r="A4" t="s">
        <v>503</v>
      </c>
      <c r="B4" t="s">
        <v>504</v>
      </c>
      <c r="C4" t="s">
        <v>505</v>
      </c>
      <c r="D4">
        <v>0</v>
      </c>
      <c r="E4">
        <v>0</v>
      </c>
      <c r="F4">
        <v>0</v>
      </c>
      <c r="G4">
        <v>0</v>
      </c>
      <c r="H4">
        <v>3</v>
      </c>
      <c r="I4">
        <v>4</v>
      </c>
      <c r="J4">
        <v>0</v>
      </c>
      <c r="K4">
        <v>0</v>
      </c>
      <c r="L4">
        <v>0</v>
      </c>
    </row>
    <row r="5" spans="1:12" x14ac:dyDescent="0.25">
      <c r="A5" t="s">
        <v>506</v>
      </c>
      <c r="B5" t="s">
        <v>507</v>
      </c>
      <c r="C5" t="s">
        <v>499</v>
      </c>
      <c r="D5">
        <v>0</v>
      </c>
      <c r="E5">
        <v>0</v>
      </c>
      <c r="F5">
        <v>3</v>
      </c>
      <c r="G5">
        <v>0</v>
      </c>
      <c r="H5">
        <v>4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508</v>
      </c>
      <c r="B6" t="s">
        <v>509</v>
      </c>
      <c r="C6" t="s">
        <v>505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510</v>
      </c>
      <c r="B7" t="s">
        <v>511</v>
      </c>
      <c r="C7" t="s">
        <v>499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</row>
    <row r="8" spans="1:12" x14ac:dyDescent="0.25">
      <c r="A8" t="s">
        <v>512</v>
      </c>
      <c r="B8" t="s">
        <v>513</v>
      </c>
      <c r="C8" t="s">
        <v>505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</row>
    <row r="9" spans="1:12" x14ac:dyDescent="0.25">
      <c r="A9" t="s">
        <v>514</v>
      </c>
      <c r="B9" t="s">
        <v>515</v>
      </c>
      <c r="C9" t="s">
        <v>502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</row>
    <row r="10" spans="1:12" x14ac:dyDescent="0.25">
      <c r="A10" t="s">
        <v>516</v>
      </c>
      <c r="B10" t="s">
        <v>517</v>
      </c>
      <c r="C10" t="s">
        <v>502</v>
      </c>
      <c r="D10">
        <v>0</v>
      </c>
      <c r="E10">
        <v>0</v>
      </c>
      <c r="F10">
        <v>0</v>
      </c>
      <c r="G10">
        <v>0</v>
      </c>
      <c r="H10">
        <v>3</v>
      </c>
      <c r="I10">
        <v>0</v>
      </c>
      <c r="J10">
        <v>4</v>
      </c>
      <c r="K10">
        <v>0</v>
      </c>
      <c r="L10">
        <v>0</v>
      </c>
    </row>
    <row r="11" spans="1:12" x14ac:dyDescent="0.25">
      <c r="A11" t="s">
        <v>518</v>
      </c>
      <c r="B11" t="s">
        <v>519</v>
      </c>
      <c r="C11" t="s">
        <v>505</v>
      </c>
      <c r="D11">
        <v>0</v>
      </c>
      <c r="E11">
        <v>0</v>
      </c>
      <c r="F11">
        <v>3</v>
      </c>
      <c r="G11">
        <v>4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520</v>
      </c>
      <c r="B12" t="s">
        <v>521</v>
      </c>
      <c r="C12" t="s">
        <v>499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522</v>
      </c>
      <c r="B13" t="s">
        <v>523</v>
      </c>
      <c r="C13" t="s">
        <v>499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524</v>
      </c>
      <c r="B14" t="s">
        <v>525</v>
      </c>
      <c r="C14" t="s">
        <v>499</v>
      </c>
      <c r="D14">
        <v>0</v>
      </c>
      <c r="E14">
        <v>0</v>
      </c>
      <c r="F14">
        <v>0</v>
      </c>
      <c r="G14">
        <v>0</v>
      </c>
      <c r="H14">
        <v>0</v>
      </c>
      <c r="I14">
        <v>4</v>
      </c>
      <c r="J14">
        <v>0</v>
      </c>
      <c r="K14">
        <v>0</v>
      </c>
      <c r="L14">
        <v>3</v>
      </c>
    </row>
    <row r="15" spans="1:12" x14ac:dyDescent="0.25">
      <c r="A15" t="s">
        <v>526</v>
      </c>
      <c r="B15" t="s">
        <v>527</v>
      </c>
      <c r="C15" t="s">
        <v>502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0"/>
  <sheetViews>
    <sheetView workbookViewId="0">
      <pane ySplit="16" topLeftCell="A17" activePane="bottomLeft" state="frozen"/>
      <selection pane="bottomLeft" sqref="A1:F1"/>
    </sheetView>
  </sheetViews>
  <sheetFormatPr defaultRowHeight="15" x14ac:dyDescent="0.25"/>
  <cols>
    <col min="1" max="1" width="28" customWidth="1"/>
    <col min="2" max="2" width="32" customWidth="1"/>
    <col min="3" max="3" width="12" customWidth="1"/>
    <col min="4" max="4" width="55" customWidth="1"/>
    <col min="5" max="5" width="18" customWidth="1"/>
  </cols>
  <sheetData>
    <row r="1" spans="1:6" ht="27.95" customHeight="1" x14ac:dyDescent="0.25">
      <c r="A1" s="47" t="s">
        <v>528</v>
      </c>
      <c r="B1" s="48"/>
      <c r="C1" s="48"/>
      <c r="D1" s="48"/>
      <c r="E1" s="48"/>
      <c r="F1" s="48"/>
    </row>
    <row r="2" spans="1:6" x14ac:dyDescent="0.25">
      <c r="A2" s="7" t="s">
        <v>529</v>
      </c>
      <c r="B2" s="8" t="s">
        <v>498</v>
      </c>
    </row>
    <row r="3" spans="1:6" x14ac:dyDescent="0.25">
      <c r="A3" s="7" t="s">
        <v>530</v>
      </c>
      <c r="C3" s="7">
        <f>SUM(C6:C14)</f>
        <v>0</v>
      </c>
      <c r="D3" s="7" t="s">
        <v>531</v>
      </c>
      <c r="E3" s="7">
        <f>130-C3</f>
        <v>130</v>
      </c>
    </row>
    <row r="5" spans="1:6" x14ac:dyDescent="0.25">
      <c r="A5" s="9" t="s">
        <v>532</v>
      </c>
      <c r="B5" s="9" t="s">
        <v>533</v>
      </c>
      <c r="C5" s="9" t="s">
        <v>534</v>
      </c>
      <c r="D5" s="9" t="s">
        <v>535</v>
      </c>
      <c r="E5" s="9" t="s">
        <v>536</v>
      </c>
    </row>
    <row r="6" spans="1:6" x14ac:dyDescent="0.25">
      <c r="A6" s="8" t="s">
        <v>266</v>
      </c>
      <c r="B6" s="8">
        <v>10</v>
      </c>
      <c r="C6" s="10">
        <v>0</v>
      </c>
      <c r="D6" s="8">
        <f>IFERROR(SUMPRODUCT(('Race Data'!B$2:B$50=B$2)*('Race Data'!D$2:D$50)),0)</f>
        <v>0</v>
      </c>
      <c r="E6" s="11">
        <f t="shared" ref="E6:E14" si="0">B6+C6+D6</f>
        <v>10</v>
      </c>
    </row>
    <row r="7" spans="1:6" x14ac:dyDescent="0.25">
      <c r="A7" s="8" t="s">
        <v>104</v>
      </c>
      <c r="B7" s="8">
        <v>10</v>
      </c>
      <c r="C7" s="10">
        <v>0</v>
      </c>
      <c r="D7" s="8">
        <f>IFERROR(SUMPRODUCT(('Race Data'!B$2:B$50=B$2)*('Race Data'!E$2:E$50)),0)</f>
        <v>0</v>
      </c>
      <c r="E7" s="11">
        <f t="shared" si="0"/>
        <v>10</v>
      </c>
    </row>
    <row r="8" spans="1:6" x14ac:dyDescent="0.25">
      <c r="A8" s="8" t="s">
        <v>61</v>
      </c>
      <c r="B8" s="8">
        <v>10</v>
      </c>
      <c r="C8" s="10">
        <v>0</v>
      </c>
      <c r="D8" s="8">
        <f>IFERROR(SUMPRODUCT(('Race Data'!B$2:B$50=B$2)*('Race Data'!F$2:F$50)),0)</f>
        <v>0</v>
      </c>
      <c r="E8" s="11">
        <f t="shared" si="0"/>
        <v>10</v>
      </c>
    </row>
    <row r="9" spans="1:6" x14ac:dyDescent="0.25">
      <c r="A9" s="8" t="s">
        <v>302</v>
      </c>
      <c r="B9" s="8">
        <v>10</v>
      </c>
      <c r="C9" s="10">
        <v>0</v>
      </c>
      <c r="D9" s="8">
        <f>IFERROR(SUMPRODUCT(('Race Data'!B$2:B$50=B$2)*('Race Data'!G$2:G$50)),0)</f>
        <v>0</v>
      </c>
      <c r="E9" s="11">
        <f t="shared" si="0"/>
        <v>10</v>
      </c>
    </row>
    <row r="10" spans="1:6" x14ac:dyDescent="0.25">
      <c r="A10" s="8" t="s">
        <v>93</v>
      </c>
      <c r="B10" s="8">
        <v>10</v>
      </c>
      <c r="C10" s="10">
        <v>0</v>
      </c>
      <c r="D10" s="8">
        <f>IFERROR(SUMPRODUCT(('Race Data'!B$2:B$50=B$2)*('Race Data'!H$2:H$50)),0)</f>
        <v>0</v>
      </c>
      <c r="E10" s="11">
        <f t="shared" si="0"/>
        <v>10</v>
      </c>
    </row>
    <row r="11" spans="1:6" x14ac:dyDescent="0.25">
      <c r="A11" s="8" t="s">
        <v>43</v>
      </c>
      <c r="B11" s="8">
        <v>10</v>
      </c>
      <c r="C11" s="10">
        <v>0</v>
      </c>
      <c r="D11" s="8">
        <f>IFERROR(SUMPRODUCT(('Race Data'!B$2:B$50=B$2)*('Race Data'!I$2:I$50)),0)</f>
        <v>0</v>
      </c>
      <c r="E11" s="11">
        <f t="shared" si="0"/>
        <v>10</v>
      </c>
    </row>
    <row r="12" spans="1:6" x14ac:dyDescent="0.25">
      <c r="A12" s="8" t="s">
        <v>289</v>
      </c>
      <c r="B12" s="8">
        <v>10</v>
      </c>
      <c r="C12" s="10">
        <v>0</v>
      </c>
      <c r="D12" s="8">
        <f>IFERROR(SUMPRODUCT(('Race Data'!B$2:B$50=B$2)*('Race Data'!J$2:J$50)),0)</f>
        <v>0</v>
      </c>
      <c r="E12" s="11">
        <f t="shared" si="0"/>
        <v>10</v>
      </c>
    </row>
    <row r="13" spans="1:6" x14ac:dyDescent="0.25">
      <c r="A13" s="8" t="s">
        <v>35</v>
      </c>
      <c r="B13" s="8">
        <v>10</v>
      </c>
      <c r="C13" s="10">
        <v>0</v>
      </c>
      <c r="D13" s="8">
        <f>IFERROR(SUMPRODUCT(('Race Data'!B$2:B$50=B$2)*('Race Data'!K$2:K$50)),0)</f>
        <v>0</v>
      </c>
      <c r="E13" s="11">
        <f t="shared" si="0"/>
        <v>10</v>
      </c>
    </row>
    <row r="14" spans="1:6" x14ac:dyDescent="0.25">
      <c r="A14" s="8" t="s">
        <v>224</v>
      </c>
      <c r="B14" s="8">
        <v>10</v>
      </c>
      <c r="C14" s="10">
        <v>0</v>
      </c>
      <c r="D14" s="8">
        <f>IFERROR(SUMPRODUCT(('Race Data'!B$2:B$50=B$2)*('Race Data'!L$2:L$50)),0)</f>
        <v>0</v>
      </c>
      <c r="E14" s="11">
        <f t="shared" si="0"/>
        <v>10</v>
      </c>
    </row>
    <row r="15" spans="1:6" ht="8.1" customHeight="1" x14ac:dyDescent="0.25"/>
    <row r="16" spans="1:6" x14ac:dyDescent="0.25">
      <c r="A16" s="12" t="s">
        <v>537</v>
      </c>
      <c r="B16" s="12" t="s">
        <v>1</v>
      </c>
      <c r="C16" s="12" t="s">
        <v>18</v>
      </c>
      <c r="D16" s="12" t="s">
        <v>538</v>
      </c>
      <c r="E16" s="12" t="s">
        <v>539</v>
      </c>
    </row>
    <row r="17" spans="1:5" ht="15.95" customHeight="1" x14ac:dyDescent="0.25">
      <c r="A17" s="13" t="s">
        <v>43</v>
      </c>
      <c r="B17" s="14" t="s">
        <v>43</v>
      </c>
      <c r="C17" s="5" t="s">
        <v>485</v>
      </c>
      <c r="D17" s="6" t="s">
        <v>293</v>
      </c>
      <c r="E17" s="15">
        <f>E11</f>
        <v>10</v>
      </c>
    </row>
    <row r="18" spans="1:5" ht="15.95" customHeight="1" x14ac:dyDescent="0.25">
      <c r="A18" s="16" t="s">
        <v>116</v>
      </c>
      <c r="B18" s="17" t="s">
        <v>117</v>
      </c>
      <c r="C18" s="1" t="s">
        <v>26</v>
      </c>
      <c r="D18" s="2" t="s">
        <v>119</v>
      </c>
      <c r="E18" s="18">
        <f>(E11 * 0.03)</f>
        <v>0.3</v>
      </c>
    </row>
    <row r="19" spans="1:5" ht="15.95" customHeight="1" x14ac:dyDescent="0.25">
      <c r="A19" s="13" t="s">
        <v>266</v>
      </c>
      <c r="B19" s="14" t="s">
        <v>266</v>
      </c>
      <c r="C19" s="5" t="s">
        <v>485</v>
      </c>
      <c r="D19" s="6" t="s">
        <v>293</v>
      </c>
      <c r="E19" s="15">
        <f>E6</f>
        <v>10</v>
      </c>
    </row>
    <row r="20" spans="1:5" ht="15.95" customHeight="1" x14ac:dyDescent="0.25">
      <c r="A20" s="13" t="s">
        <v>93</v>
      </c>
      <c r="B20" s="14" t="s">
        <v>93</v>
      </c>
      <c r="C20" s="5" t="s">
        <v>485</v>
      </c>
      <c r="D20" s="6" t="s">
        <v>293</v>
      </c>
      <c r="E20" s="15">
        <f>E10</f>
        <v>10</v>
      </c>
    </row>
    <row r="21" spans="1:5" ht="15.95" customHeight="1" x14ac:dyDescent="0.25">
      <c r="A21" s="19" t="s">
        <v>404</v>
      </c>
      <c r="B21" s="20" t="s">
        <v>405</v>
      </c>
      <c r="C21" s="3" t="s">
        <v>294</v>
      </c>
      <c r="D21" s="4" t="s">
        <v>330</v>
      </c>
      <c r="E21" s="21">
        <f>(E10 * 0.01)</f>
        <v>0.1</v>
      </c>
    </row>
    <row r="22" spans="1:5" ht="15.95" customHeight="1" x14ac:dyDescent="0.25">
      <c r="A22" s="16" t="s">
        <v>193</v>
      </c>
      <c r="B22" s="17" t="s">
        <v>194</v>
      </c>
      <c r="C22" s="1" t="s">
        <v>26</v>
      </c>
      <c r="D22" s="2" t="s">
        <v>109</v>
      </c>
      <c r="E22" s="18">
        <f>100</f>
        <v>100</v>
      </c>
    </row>
    <row r="23" spans="1:5" ht="15.95" customHeight="1" x14ac:dyDescent="0.25">
      <c r="A23" s="19" t="s">
        <v>254</v>
      </c>
      <c r="B23" s="20" t="s">
        <v>470</v>
      </c>
      <c r="C23" s="3" t="s">
        <v>294</v>
      </c>
      <c r="D23" s="4" t="s">
        <v>293</v>
      </c>
      <c r="E23" s="21">
        <f>0</f>
        <v>0</v>
      </c>
    </row>
    <row r="24" spans="1:5" ht="15.95" customHeight="1" x14ac:dyDescent="0.25">
      <c r="A24" s="19" t="s">
        <v>540</v>
      </c>
      <c r="B24" s="20" t="s">
        <v>541</v>
      </c>
      <c r="C24" s="3" t="s">
        <v>294</v>
      </c>
      <c r="D24" s="4"/>
      <c r="E24" s="21" t="s">
        <v>542</v>
      </c>
    </row>
    <row r="25" spans="1:5" ht="15.95" customHeight="1" x14ac:dyDescent="0.25">
      <c r="A25" s="16" t="s">
        <v>216</v>
      </c>
      <c r="B25" s="17" t="s">
        <v>217</v>
      </c>
      <c r="C25" s="1" t="s">
        <v>26</v>
      </c>
      <c r="D25" s="2" t="s">
        <v>219</v>
      </c>
      <c r="E25" s="18">
        <f>-5</f>
        <v>-5</v>
      </c>
    </row>
    <row r="26" spans="1:5" ht="15.95" customHeight="1" x14ac:dyDescent="0.25">
      <c r="A26" s="19" t="s">
        <v>272</v>
      </c>
      <c r="B26" s="20" t="s">
        <v>474</v>
      </c>
      <c r="C26" s="3" t="s">
        <v>294</v>
      </c>
      <c r="D26" s="4" t="s">
        <v>293</v>
      </c>
      <c r="E26" s="21">
        <f>0</f>
        <v>0</v>
      </c>
    </row>
    <row r="27" spans="1:5" ht="15.95" customHeight="1" x14ac:dyDescent="0.25">
      <c r="A27" s="16" t="s">
        <v>268</v>
      </c>
      <c r="B27" s="17" t="s">
        <v>269</v>
      </c>
      <c r="C27" s="1" t="s">
        <v>26</v>
      </c>
      <c r="D27" s="2" t="s">
        <v>271</v>
      </c>
      <c r="E27" s="18">
        <f>1 - E26</f>
        <v>1</v>
      </c>
    </row>
    <row r="28" spans="1:5" ht="15.95" customHeight="1" x14ac:dyDescent="0.25">
      <c r="A28" s="13" t="s">
        <v>35</v>
      </c>
      <c r="B28" s="14" t="s">
        <v>35</v>
      </c>
      <c r="C28" s="5" t="s">
        <v>485</v>
      </c>
      <c r="D28" s="6" t="s">
        <v>293</v>
      </c>
      <c r="E28" s="15">
        <f>E13</f>
        <v>10</v>
      </c>
    </row>
    <row r="29" spans="1:5" ht="15.95" customHeight="1" x14ac:dyDescent="0.25">
      <c r="A29" s="16" t="s">
        <v>47</v>
      </c>
      <c r="B29" s="17" t="s">
        <v>48</v>
      </c>
      <c r="C29" s="1" t="s">
        <v>26</v>
      </c>
      <c r="D29" s="2" t="s">
        <v>50</v>
      </c>
      <c r="E29" s="18">
        <f>5000 + 100 * E13</f>
        <v>6000</v>
      </c>
    </row>
    <row r="30" spans="1:5" ht="15.95" customHeight="1" x14ac:dyDescent="0.25">
      <c r="A30" s="16" t="s">
        <v>180</v>
      </c>
      <c r="B30" s="17" t="s">
        <v>181</v>
      </c>
      <c r="C30" s="1" t="s">
        <v>26</v>
      </c>
      <c r="D30" s="2" t="s">
        <v>150</v>
      </c>
      <c r="E30" s="18">
        <f>(E13 * 0.02)</f>
        <v>0.2</v>
      </c>
    </row>
    <row r="31" spans="1:5" ht="15.95" customHeight="1" x14ac:dyDescent="0.25">
      <c r="A31" s="16" t="s">
        <v>36</v>
      </c>
      <c r="B31" s="17" t="s">
        <v>87</v>
      </c>
      <c r="C31" s="1" t="s">
        <v>26</v>
      </c>
      <c r="D31" s="2" t="s">
        <v>177</v>
      </c>
      <c r="E31" s="18">
        <f>(E29 * (1 + E30))</f>
        <v>7200</v>
      </c>
    </row>
    <row r="32" spans="1:5" ht="15.95" customHeight="1" x14ac:dyDescent="0.25">
      <c r="A32" s="16" t="s">
        <v>196</v>
      </c>
      <c r="B32" s="17" t="s">
        <v>197</v>
      </c>
      <c r="C32" s="1" t="s">
        <v>26</v>
      </c>
      <c r="D32" s="2" t="s">
        <v>199</v>
      </c>
      <c r="E32" s="18">
        <f>E31 / 2</f>
        <v>3600</v>
      </c>
    </row>
    <row r="33" spans="1:5" ht="15.95" customHeight="1" x14ac:dyDescent="0.25">
      <c r="A33" s="16" t="s">
        <v>169</v>
      </c>
      <c r="B33" s="17" t="s">
        <v>170</v>
      </c>
      <c r="C33" s="1" t="s">
        <v>26</v>
      </c>
      <c r="D33" s="2" t="s">
        <v>172</v>
      </c>
      <c r="E33" s="18">
        <f>E31 + E32</f>
        <v>10800</v>
      </c>
    </row>
    <row r="34" spans="1:5" ht="15.95" customHeight="1" x14ac:dyDescent="0.25">
      <c r="A34" s="19" t="s">
        <v>543</v>
      </c>
      <c r="B34" s="20" t="s">
        <v>544</v>
      </c>
      <c r="C34" s="3" t="s">
        <v>294</v>
      </c>
      <c r="D34" s="4"/>
      <c r="E34" s="21" t="s">
        <v>542</v>
      </c>
    </row>
    <row r="35" spans="1:5" ht="15.95" customHeight="1" x14ac:dyDescent="0.25">
      <c r="A35" s="13" t="s">
        <v>61</v>
      </c>
      <c r="B35" s="14" t="s">
        <v>61</v>
      </c>
      <c r="C35" s="5" t="s">
        <v>485</v>
      </c>
      <c r="D35" s="6" t="s">
        <v>293</v>
      </c>
      <c r="E35" s="15">
        <f>E8</f>
        <v>10</v>
      </c>
    </row>
    <row r="36" spans="1:5" ht="15.95" customHeight="1" x14ac:dyDescent="0.25">
      <c r="A36" s="16" t="s">
        <v>57</v>
      </c>
      <c r="B36" s="17" t="s">
        <v>58</v>
      </c>
      <c r="C36" s="1" t="s">
        <v>26</v>
      </c>
      <c r="D36" s="2" t="s">
        <v>60</v>
      </c>
      <c r="E36" s="18">
        <f>(1 + E8 * 0.005)</f>
        <v>1.05</v>
      </c>
    </row>
    <row r="37" spans="1:5" ht="15.95" customHeight="1" x14ac:dyDescent="0.25">
      <c r="A37" s="19" t="s">
        <v>348</v>
      </c>
      <c r="B37" s="20" t="s">
        <v>349</v>
      </c>
      <c r="C37" s="3" t="s">
        <v>294</v>
      </c>
      <c r="D37" s="4" t="s">
        <v>351</v>
      </c>
      <c r="E37" s="21">
        <f>1.25</f>
        <v>1.25</v>
      </c>
    </row>
    <row r="38" spans="1:5" ht="15.95" customHeight="1" x14ac:dyDescent="0.25">
      <c r="A38" s="16" t="s">
        <v>235</v>
      </c>
      <c r="B38" s="17" t="s">
        <v>236</v>
      </c>
      <c r="C38" s="1" t="s">
        <v>26</v>
      </c>
      <c r="D38" s="2" t="s">
        <v>109</v>
      </c>
      <c r="E38" s="18">
        <f>100</f>
        <v>100</v>
      </c>
    </row>
    <row r="39" spans="1:5" ht="15.95" customHeight="1" x14ac:dyDescent="0.25">
      <c r="A39" s="16" t="s">
        <v>147</v>
      </c>
      <c r="B39" s="17" t="s">
        <v>148</v>
      </c>
      <c r="C39" s="1" t="s">
        <v>26</v>
      </c>
      <c r="D39" s="2" t="s">
        <v>150</v>
      </c>
      <c r="E39" s="18">
        <f>(E13 * 0.02)</f>
        <v>0.2</v>
      </c>
    </row>
    <row r="40" spans="1:5" ht="15.95" customHeight="1" x14ac:dyDescent="0.25">
      <c r="A40" s="16" t="s">
        <v>31</v>
      </c>
      <c r="B40" s="17" t="s">
        <v>32</v>
      </c>
      <c r="C40" s="1" t="s">
        <v>26</v>
      </c>
      <c r="D40" s="2" t="s">
        <v>34</v>
      </c>
      <c r="E40" s="18">
        <f>E31 / 150</f>
        <v>48</v>
      </c>
    </row>
    <row r="41" spans="1:5" ht="15.95" customHeight="1" x14ac:dyDescent="0.25">
      <c r="A41" s="16" t="s">
        <v>136</v>
      </c>
      <c r="B41" s="17" t="s">
        <v>139</v>
      </c>
      <c r="C41" s="1" t="s">
        <v>26</v>
      </c>
      <c r="D41" s="2" t="s">
        <v>143</v>
      </c>
      <c r="E41" s="18">
        <f>(E40 * (1 + E39))</f>
        <v>57.599999999999994</v>
      </c>
    </row>
    <row r="42" spans="1:5" ht="15.95" customHeight="1" x14ac:dyDescent="0.25">
      <c r="A42" s="16" t="s">
        <v>136</v>
      </c>
      <c r="B42" s="17" t="s">
        <v>137</v>
      </c>
      <c r="C42" s="1" t="s">
        <v>26</v>
      </c>
      <c r="D42" s="2" t="s">
        <v>139</v>
      </c>
      <c r="E42" s="18">
        <f>E41</f>
        <v>57.599999999999994</v>
      </c>
    </row>
    <row r="43" spans="1:5" ht="15.95" customHeight="1" x14ac:dyDescent="0.25">
      <c r="A43" s="19" t="s">
        <v>545</v>
      </c>
      <c r="B43" s="20" t="s">
        <v>546</v>
      </c>
      <c r="C43" s="3" t="s">
        <v>294</v>
      </c>
      <c r="D43" s="4"/>
      <c r="E43" s="21" t="s">
        <v>542</v>
      </c>
    </row>
    <row r="44" spans="1:5" ht="15.95" customHeight="1" x14ac:dyDescent="0.25">
      <c r="A44" s="19" t="s">
        <v>547</v>
      </c>
      <c r="B44" s="20" t="s">
        <v>548</v>
      </c>
      <c r="C44" s="3" t="s">
        <v>294</v>
      </c>
      <c r="D44" s="4"/>
      <c r="E44" s="21" t="s">
        <v>542</v>
      </c>
    </row>
    <row r="45" spans="1:5" ht="15.95" customHeight="1" x14ac:dyDescent="0.25">
      <c r="A45" s="19" t="s">
        <v>549</v>
      </c>
      <c r="B45" s="20" t="s">
        <v>550</v>
      </c>
      <c r="C45" s="3" t="s">
        <v>294</v>
      </c>
      <c r="D45" s="4"/>
      <c r="E45" s="21" t="s">
        <v>542</v>
      </c>
    </row>
    <row r="46" spans="1:5" ht="15.95" customHeight="1" x14ac:dyDescent="0.25">
      <c r="A46" s="19" t="s">
        <v>551</v>
      </c>
      <c r="B46" s="20" t="s">
        <v>552</v>
      </c>
      <c r="C46" s="3" t="s">
        <v>294</v>
      </c>
      <c r="D46" s="4"/>
      <c r="E46" s="21" t="s">
        <v>542</v>
      </c>
    </row>
    <row r="47" spans="1:5" ht="15.95" customHeight="1" x14ac:dyDescent="0.25">
      <c r="A47" s="16" t="s">
        <v>183</v>
      </c>
      <c r="B47" s="17" t="s">
        <v>184</v>
      </c>
      <c r="C47" s="1" t="s">
        <v>26</v>
      </c>
      <c r="D47" s="2" t="s">
        <v>167</v>
      </c>
      <c r="E47" s="18">
        <f>(E11 * 0.02)</f>
        <v>0.2</v>
      </c>
    </row>
    <row r="48" spans="1:5" ht="15.95" customHeight="1" x14ac:dyDescent="0.25">
      <c r="A48" s="16" t="s">
        <v>52</v>
      </c>
      <c r="B48" s="17" t="s">
        <v>53</v>
      </c>
      <c r="C48" s="1" t="s">
        <v>26</v>
      </c>
      <c r="D48" s="2" t="s">
        <v>55</v>
      </c>
      <c r="E48" s="18">
        <f>5000 + 100 * E11</f>
        <v>6000</v>
      </c>
    </row>
    <row r="49" spans="1:5" ht="15.95" customHeight="1" x14ac:dyDescent="0.25">
      <c r="A49" s="19" t="s">
        <v>44</v>
      </c>
      <c r="B49" s="20" t="s">
        <v>446</v>
      </c>
      <c r="C49" s="3" t="s">
        <v>294</v>
      </c>
      <c r="D49" s="4" t="s">
        <v>448</v>
      </c>
      <c r="E49" s="21">
        <f>(E48 * (1 + E47))</f>
        <v>7200</v>
      </c>
    </row>
    <row r="50" spans="1:5" ht="15.95" customHeight="1" x14ac:dyDescent="0.25">
      <c r="A50" s="16" t="s">
        <v>39</v>
      </c>
      <c r="B50" s="17" t="s">
        <v>40</v>
      </c>
      <c r="C50" s="1" t="s">
        <v>26</v>
      </c>
      <c r="D50" s="2" t="s">
        <v>42</v>
      </c>
      <c r="E50" s="18">
        <f>E49 / 500</f>
        <v>14.4</v>
      </c>
    </row>
    <row r="51" spans="1:5" ht="15.95" customHeight="1" x14ac:dyDescent="0.25">
      <c r="A51" s="19" t="s">
        <v>553</v>
      </c>
      <c r="B51" s="20" t="s">
        <v>554</v>
      </c>
      <c r="C51" s="3" t="s">
        <v>294</v>
      </c>
      <c r="D51" s="4"/>
      <c r="E51" s="21" t="s">
        <v>542</v>
      </c>
    </row>
    <row r="52" spans="1:5" ht="15.95" customHeight="1" x14ac:dyDescent="0.25">
      <c r="A52" s="19" t="s">
        <v>555</v>
      </c>
      <c r="B52" s="20" t="s">
        <v>556</v>
      </c>
      <c r="C52" s="3" t="s">
        <v>294</v>
      </c>
      <c r="D52" s="4"/>
      <c r="E52" s="21" t="s">
        <v>542</v>
      </c>
    </row>
    <row r="53" spans="1:5" ht="15.95" customHeight="1" x14ac:dyDescent="0.25">
      <c r="A53" s="19" t="s">
        <v>327</v>
      </c>
      <c r="B53" s="20" t="s">
        <v>328</v>
      </c>
      <c r="C53" s="3" t="s">
        <v>294</v>
      </c>
      <c r="D53" s="4" t="s">
        <v>330</v>
      </c>
      <c r="E53" s="21">
        <f>(E10 * 0.01)</f>
        <v>0.1</v>
      </c>
    </row>
    <row r="54" spans="1:5" ht="15.95" customHeight="1" x14ac:dyDescent="0.25">
      <c r="A54" s="19" t="s">
        <v>308</v>
      </c>
      <c r="B54" s="20" t="s">
        <v>309</v>
      </c>
      <c r="C54" s="3" t="s">
        <v>294</v>
      </c>
      <c r="D54" s="4" t="s">
        <v>307</v>
      </c>
      <c r="E54" s="21">
        <f>0.1</f>
        <v>0.1</v>
      </c>
    </row>
    <row r="55" spans="1:5" ht="15.95" customHeight="1" x14ac:dyDescent="0.25">
      <c r="A55" s="19" t="s">
        <v>557</v>
      </c>
      <c r="B55" s="20" t="s">
        <v>558</v>
      </c>
      <c r="C55" s="3" t="s">
        <v>294</v>
      </c>
      <c r="D55" s="4"/>
      <c r="E55" s="21" t="s">
        <v>542</v>
      </c>
    </row>
    <row r="56" spans="1:5" ht="15.95" customHeight="1" x14ac:dyDescent="0.25">
      <c r="A56" s="13" t="s">
        <v>224</v>
      </c>
      <c r="B56" s="14" t="s">
        <v>224</v>
      </c>
      <c r="C56" s="5" t="s">
        <v>485</v>
      </c>
      <c r="D56" s="6" t="s">
        <v>293</v>
      </c>
      <c r="E56" s="15">
        <f>E14</f>
        <v>10</v>
      </c>
    </row>
    <row r="57" spans="1:5" ht="15.95" customHeight="1" x14ac:dyDescent="0.25">
      <c r="A57" s="16" t="s">
        <v>220</v>
      </c>
      <c r="B57" s="17" t="s">
        <v>221</v>
      </c>
      <c r="C57" s="1" t="s">
        <v>26</v>
      </c>
      <c r="D57" s="2" t="s">
        <v>223</v>
      </c>
      <c r="E57" s="18">
        <f>(E14 * 0.005)</f>
        <v>0.05</v>
      </c>
    </row>
    <row r="58" spans="1:5" ht="15.95" customHeight="1" x14ac:dyDescent="0.25">
      <c r="A58" s="19" t="s">
        <v>242</v>
      </c>
      <c r="B58" s="20" t="s">
        <v>466</v>
      </c>
      <c r="C58" s="3" t="s">
        <v>294</v>
      </c>
      <c r="D58" s="4" t="s">
        <v>293</v>
      </c>
      <c r="E58" s="21">
        <f>0</f>
        <v>0</v>
      </c>
    </row>
    <row r="59" spans="1:5" ht="15.95" customHeight="1" x14ac:dyDescent="0.25">
      <c r="A59" s="16" t="s">
        <v>238</v>
      </c>
      <c r="B59" s="17" t="s">
        <v>239</v>
      </c>
      <c r="C59" s="1" t="s">
        <v>26</v>
      </c>
      <c r="D59" s="2" t="s">
        <v>241</v>
      </c>
      <c r="E59" s="18">
        <f>1 - (0.003 * E58) / (1 + 0.003 * E58)</f>
        <v>1</v>
      </c>
    </row>
    <row r="60" spans="1:5" ht="15.95" customHeight="1" x14ac:dyDescent="0.25">
      <c r="A60" s="19" t="s">
        <v>559</v>
      </c>
      <c r="B60" s="20" t="s">
        <v>560</v>
      </c>
      <c r="C60" s="3" t="s">
        <v>294</v>
      </c>
      <c r="D60" s="4"/>
      <c r="E60" s="21" t="s">
        <v>542</v>
      </c>
    </row>
    <row r="61" spans="1:5" ht="15.95" customHeight="1" x14ac:dyDescent="0.25">
      <c r="A61" s="19" t="s">
        <v>561</v>
      </c>
      <c r="B61" s="20" t="s">
        <v>562</v>
      </c>
      <c r="C61" s="3" t="s">
        <v>294</v>
      </c>
      <c r="D61" s="4"/>
      <c r="E61" s="21" t="s">
        <v>542</v>
      </c>
    </row>
    <row r="62" spans="1:5" ht="15.95" customHeight="1" x14ac:dyDescent="0.25">
      <c r="A62" s="19" t="s">
        <v>563</v>
      </c>
      <c r="B62" s="20" t="s">
        <v>564</v>
      </c>
      <c r="C62" s="3" t="s">
        <v>294</v>
      </c>
      <c r="D62" s="4"/>
      <c r="E62" s="21" t="s">
        <v>542</v>
      </c>
    </row>
    <row r="63" spans="1:5" ht="15.95" customHeight="1" x14ac:dyDescent="0.25">
      <c r="A63" s="19" t="s">
        <v>205</v>
      </c>
      <c r="B63" s="20" t="s">
        <v>454</v>
      </c>
      <c r="C63" s="3" t="s">
        <v>294</v>
      </c>
      <c r="D63" s="4" t="s">
        <v>293</v>
      </c>
      <c r="E63" s="21">
        <f>0</f>
        <v>0</v>
      </c>
    </row>
    <row r="64" spans="1:5" ht="15.95" customHeight="1" x14ac:dyDescent="0.25">
      <c r="A64" s="19" t="s">
        <v>565</v>
      </c>
      <c r="B64" s="20" t="s">
        <v>566</v>
      </c>
      <c r="C64" s="3" t="s">
        <v>294</v>
      </c>
      <c r="D64" s="4"/>
      <c r="E64" s="21" t="s">
        <v>542</v>
      </c>
    </row>
    <row r="65" spans="1:5" ht="15.95" customHeight="1" x14ac:dyDescent="0.25">
      <c r="A65" s="19" t="s">
        <v>451</v>
      </c>
      <c r="B65" s="20" t="s">
        <v>452</v>
      </c>
      <c r="C65" s="3" t="s">
        <v>294</v>
      </c>
      <c r="D65" s="4" t="s">
        <v>453</v>
      </c>
      <c r="E65" s="21">
        <f>20.1</f>
        <v>20.100000000000001</v>
      </c>
    </row>
    <row r="66" spans="1:5" ht="15.95" customHeight="1" x14ac:dyDescent="0.25">
      <c r="A66" s="19" t="s">
        <v>417</v>
      </c>
      <c r="B66" s="20" t="s">
        <v>418</v>
      </c>
      <c r="C66" s="3" t="s">
        <v>294</v>
      </c>
      <c r="D66" s="4" t="s">
        <v>346</v>
      </c>
      <c r="E66" s="21">
        <f>(1 + E11 * 0.005)</f>
        <v>1.05</v>
      </c>
    </row>
    <row r="67" spans="1:5" ht="15.95" customHeight="1" x14ac:dyDescent="0.25">
      <c r="A67" s="19" t="s">
        <v>567</v>
      </c>
      <c r="B67" s="20" t="s">
        <v>568</v>
      </c>
      <c r="C67" s="3" t="s">
        <v>294</v>
      </c>
      <c r="D67" s="4"/>
      <c r="E67" s="21" t="s">
        <v>542</v>
      </c>
    </row>
    <row r="68" spans="1:5" ht="15.95" customHeight="1" x14ac:dyDescent="0.25">
      <c r="A68" s="19" t="s">
        <v>388</v>
      </c>
      <c r="B68" s="20" t="s">
        <v>389</v>
      </c>
      <c r="C68" s="3" t="s">
        <v>294</v>
      </c>
      <c r="D68" s="4" t="s">
        <v>98</v>
      </c>
      <c r="E68" s="21">
        <f>(E10 * 0.005)</f>
        <v>0.05</v>
      </c>
    </row>
    <row r="69" spans="1:5" ht="15.95" customHeight="1" x14ac:dyDescent="0.25">
      <c r="A69" s="19" t="s">
        <v>304</v>
      </c>
      <c r="B69" s="20" t="s">
        <v>305</v>
      </c>
      <c r="C69" s="3" t="s">
        <v>294</v>
      </c>
      <c r="D69" s="4" t="s">
        <v>307</v>
      </c>
      <c r="E69" s="21">
        <f>0.1</f>
        <v>0.1</v>
      </c>
    </row>
    <row r="70" spans="1:5" ht="15.95" customHeight="1" x14ac:dyDescent="0.25">
      <c r="A70" s="19" t="s">
        <v>395</v>
      </c>
      <c r="B70" s="20" t="s">
        <v>407</v>
      </c>
      <c r="C70" s="3" t="s">
        <v>294</v>
      </c>
      <c r="D70" s="4" t="s">
        <v>409</v>
      </c>
      <c r="E70" s="21">
        <f>(E69 * (1 + E68))</f>
        <v>0.10500000000000001</v>
      </c>
    </row>
    <row r="71" spans="1:5" ht="15.95" customHeight="1" x14ac:dyDescent="0.25">
      <c r="A71" s="19" t="s">
        <v>443</v>
      </c>
      <c r="B71" s="20" t="s">
        <v>444</v>
      </c>
      <c r="C71" s="3" t="s">
        <v>294</v>
      </c>
      <c r="D71" s="4" t="s">
        <v>189</v>
      </c>
      <c r="E71" s="21">
        <f>1000</f>
        <v>1000</v>
      </c>
    </row>
    <row r="72" spans="1:5" ht="15.95" customHeight="1" x14ac:dyDescent="0.25">
      <c r="A72" s="16" t="s">
        <v>164</v>
      </c>
      <c r="B72" s="17" t="s">
        <v>165</v>
      </c>
      <c r="C72" s="1" t="s">
        <v>26</v>
      </c>
      <c r="D72" s="2" t="s">
        <v>167</v>
      </c>
      <c r="E72" s="18">
        <f>(E11 * 0.02)</f>
        <v>0.2</v>
      </c>
    </row>
    <row r="73" spans="1:5" ht="15.95" customHeight="1" x14ac:dyDescent="0.25">
      <c r="A73" s="19" t="s">
        <v>569</v>
      </c>
      <c r="B73" s="20" t="s">
        <v>570</v>
      </c>
      <c r="C73" s="3" t="s">
        <v>294</v>
      </c>
      <c r="D73" s="4"/>
      <c r="E73" s="21" t="s">
        <v>542</v>
      </c>
    </row>
    <row r="74" spans="1:5" ht="15.95" customHeight="1" x14ac:dyDescent="0.25">
      <c r="A74" s="13" t="s">
        <v>104</v>
      </c>
      <c r="B74" s="14" t="s">
        <v>104</v>
      </c>
      <c r="C74" s="5" t="s">
        <v>485</v>
      </c>
      <c r="D74" s="6" t="s">
        <v>293</v>
      </c>
      <c r="E74" s="15">
        <f>E7</f>
        <v>10</v>
      </c>
    </row>
    <row r="75" spans="1:5" ht="15.95" customHeight="1" x14ac:dyDescent="0.25">
      <c r="A75" s="16" t="s">
        <v>250</v>
      </c>
      <c r="B75" s="17" t="s">
        <v>251</v>
      </c>
      <c r="C75" s="1" t="s">
        <v>26</v>
      </c>
      <c r="D75" s="2" t="s">
        <v>253</v>
      </c>
      <c r="E75" s="18">
        <f>1 - E23</f>
        <v>1</v>
      </c>
    </row>
    <row r="76" spans="1:5" ht="15.95" customHeight="1" x14ac:dyDescent="0.25">
      <c r="A76" s="19" t="s">
        <v>125</v>
      </c>
      <c r="B76" s="20" t="s">
        <v>381</v>
      </c>
      <c r="C76" s="3" t="s">
        <v>294</v>
      </c>
      <c r="D76" s="4" t="s">
        <v>293</v>
      </c>
      <c r="E76" s="21">
        <f>0</f>
        <v>0</v>
      </c>
    </row>
    <row r="77" spans="1:5" ht="15.95" customHeight="1" x14ac:dyDescent="0.25">
      <c r="A77" s="16" t="s">
        <v>121</v>
      </c>
      <c r="B77" s="17" t="s">
        <v>122</v>
      </c>
      <c r="C77" s="1" t="s">
        <v>26</v>
      </c>
      <c r="D77" s="2" t="s">
        <v>124</v>
      </c>
      <c r="E77" s="18">
        <f>1 - E76</f>
        <v>1</v>
      </c>
    </row>
    <row r="78" spans="1:5" ht="15.95" customHeight="1" x14ac:dyDescent="0.25">
      <c r="A78" s="19" t="s">
        <v>571</v>
      </c>
      <c r="B78" s="20" t="s">
        <v>572</v>
      </c>
      <c r="C78" s="3" t="s">
        <v>294</v>
      </c>
      <c r="D78" s="4"/>
      <c r="E78" s="21" t="s">
        <v>542</v>
      </c>
    </row>
    <row r="79" spans="1:5" ht="15.95" customHeight="1" x14ac:dyDescent="0.25">
      <c r="A79" s="19" t="s">
        <v>424</v>
      </c>
      <c r="B79" s="20" t="s">
        <v>425</v>
      </c>
      <c r="C79" s="3" t="s">
        <v>294</v>
      </c>
      <c r="D79" s="4" t="s">
        <v>427</v>
      </c>
      <c r="E79" s="21">
        <f>(E50 * (1 + E72))</f>
        <v>17.28</v>
      </c>
    </row>
    <row r="80" spans="1:5" ht="15.95" customHeight="1" x14ac:dyDescent="0.25">
      <c r="A80" s="19" t="s">
        <v>260</v>
      </c>
      <c r="B80" s="20" t="s">
        <v>472</v>
      </c>
      <c r="C80" s="3" t="s">
        <v>294</v>
      </c>
      <c r="D80" s="4" t="s">
        <v>293</v>
      </c>
      <c r="E80" s="21">
        <f>0</f>
        <v>0</v>
      </c>
    </row>
    <row r="81" spans="1:5" ht="15.95" customHeight="1" x14ac:dyDescent="0.25">
      <c r="A81" s="16" t="s">
        <v>226</v>
      </c>
      <c r="B81" s="17" t="s">
        <v>227</v>
      </c>
      <c r="C81" s="1" t="s">
        <v>26</v>
      </c>
      <c r="D81" s="2" t="s">
        <v>229</v>
      </c>
      <c r="E81" s="18">
        <f>1 - E57</f>
        <v>0.95</v>
      </c>
    </row>
    <row r="82" spans="1:5" ht="15.95" customHeight="1" x14ac:dyDescent="0.25">
      <c r="A82" s="19" t="s">
        <v>456</v>
      </c>
      <c r="B82" s="20" t="s">
        <v>457</v>
      </c>
      <c r="C82" s="3" t="s">
        <v>294</v>
      </c>
      <c r="D82" s="4" t="s">
        <v>458</v>
      </c>
      <c r="E82" s="21">
        <f>60</f>
        <v>60</v>
      </c>
    </row>
    <row r="83" spans="1:5" ht="15.95" customHeight="1" x14ac:dyDescent="0.25">
      <c r="A83" s="19" t="s">
        <v>573</v>
      </c>
      <c r="B83" s="20" t="s">
        <v>574</v>
      </c>
      <c r="C83" s="3" t="s">
        <v>294</v>
      </c>
      <c r="D83" s="4"/>
      <c r="E83" s="21" t="s">
        <v>542</v>
      </c>
    </row>
    <row r="84" spans="1:5" ht="15.95" customHeight="1" x14ac:dyDescent="0.25">
      <c r="A84" s="16" t="s">
        <v>27</v>
      </c>
      <c r="B84" s="17" t="s">
        <v>28</v>
      </c>
      <c r="C84" s="1" t="s">
        <v>26</v>
      </c>
      <c r="D84" s="2" t="s">
        <v>30</v>
      </c>
      <c r="E84" s="18">
        <f>10</f>
        <v>10</v>
      </c>
    </row>
    <row r="85" spans="1:5" ht="15.95" customHeight="1" x14ac:dyDescent="0.25">
      <c r="A85" s="16" t="s">
        <v>94</v>
      </c>
      <c r="B85" s="17" t="s">
        <v>96</v>
      </c>
      <c r="C85" s="1" t="s">
        <v>26</v>
      </c>
      <c r="D85" s="2" t="s">
        <v>98</v>
      </c>
      <c r="E85" s="18">
        <f>(E10 * 0.005)</f>
        <v>0.05</v>
      </c>
    </row>
    <row r="86" spans="1:5" ht="15.95" customHeight="1" x14ac:dyDescent="0.25">
      <c r="A86" s="16" t="s">
        <v>262</v>
      </c>
      <c r="B86" s="17" t="s">
        <v>263</v>
      </c>
      <c r="C86" s="1" t="s">
        <v>26</v>
      </c>
      <c r="D86" s="2" t="s">
        <v>265</v>
      </c>
      <c r="E86" s="18">
        <f>(1 + E6 * 0.01)</f>
        <v>1.1000000000000001</v>
      </c>
    </row>
    <row r="87" spans="1:5" ht="15.95" customHeight="1" x14ac:dyDescent="0.25">
      <c r="A87" s="19" t="s">
        <v>575</v>
      </c>
      <c r="B87" s="20" t="s">
        <v>576</v>
      </c>
      <c r="C87" s="3" t="s">
        <v>294</v>
      </c>
      <c r="D87" s="4"/>
      <c r="E87" s="21" t="s">
        <v>542</v>
      </c>
    </row>
    <row r="88" spans="1:5" ht="15.95" customHeight="1" x14ac:dyDescent="0.25">
      <c r="A88" s="19" t="s">
        <v>476</v>
      </c>
      <c r="B88" s="20" t="s">
        <v>477</v>
      </c>
      <c r="C88" s="3" t="s">
        <v>294</v>
      </c>
      <c r="D88" s="4" t="s">
        <v>478</v>
      </c>
      <c r="E88" s="21">
        <f>5.5</f>
        <v>5.5</v>
      </c>
    </row>
    <row r="89" spans="1:5" ht="15.95" customHeight="1" x14ac:dyDescent="0.25">
      <c r="A89" s="19" t="s">
        <v>577</v>
      </c>
      <c r="B89" s="20" t="s">
        <v>578</v>
      </c>
      <c r="C89" s="3" t="s">
        <v>294</v>
      </c>
      <c r="D89" s="4"/>
      <c r="E89" s="21" t="s">
        <v>542</v>
      </c>
    </row>
    <row r="90" spans="1:5" ht="15.95" customHeight="1" x14ac:dyDescent="0.25">
      <c r="A90" s="19" t="s">
        <v>579</v>
      </c>
      <c r="B90" s="20" t="s">
        <v>580</v>
      </c>
      <c r="C90" s="3" t="s">
        <v>294</v>
      </c>
      <c r="D90" s="4"/>
      <c r="E90" s="21" t="s">
        <v>542</v>
      </c>
    </row>
    <row r="91" spans="1:5" ht="15.95" customHeight="1" x14ac:dyDescent="0.25">
      <c r="A91" s="19" t="s">
        <v>581</v>
      </c>
      <c r="B91" s="20" t="s">
        <v>582</v>
      </c>
      <c r="C91" s="3" t="s">
        <v>294</v>
      </c>
      <c r="D91" s="4"/>
      <c r="E91" s="21" t="s">
        <v>542</v>
      </c>
    </row>
    <row r="92" spans="1:5" ht="15.95" customHeight="1" x14ac:dyDescent="0.25">
      <c r="A92" s="19" t="s">
        <v>583</v>
      </c>
      <c r="B92" s="20" t="s">
        <v>584</v>
      </c>
      <c r="C92" s="3" t="s">
        <v>294</v>
      </c>
      <c r="D92" s="4"/>
      <c r="E92" s="21" t="s">
        <v>542</v>
      </c>
    </row>
    <row r="93" spans="1:5" ht="15.95" customHeight="1" x14ac:dyDescent="0.25">
      <c r="A93" s="19" t="s">
        <v>585</v>
      </c>
      <c r="B93" s="20" t="s">
        <v>586</v>
      </c>
      <c r="C93" s="3" t="s">
        <v>294</v>
      </c>
      <c r="D93" s="4"/>
      <c r="E93" s="21" t="s">
        <v>542</v>
      </c>
    </row>
    <row r="94" spans="1:5" ht="15.95" customHeight="1" x14ac:dyDescent="0.25">
      <c r="A94" s="19" t="s">
        <v>587</v>
      </c>
      <c r="B94" s="20" t="s">
        <v>588</v>
      </c>
      <c r="C94" s="3" t="s">
        <v>294</v>
      </c>
      <c r="D94" s="4"/>
      <c r="E94" s="21" t="s">
        <v>542</v>
      </c>
    </row>
    <row r="95" spans="1:5" ht="15.95" customHeight="1" x14ac:dyDescent="0.25">
      <c r="A95" s="19" t="s">
        <v>589</v>
      </c>
      <c r="B95" s="20" t="s">
        <v>590</v>
      </c>
      <c r="C95" s="3" t="s">
        <v>294</v>
      </c>
      <c r="D95" s="4"/>
      <c r="E95" s="21" t="s">
        <v>542</v>
      </c>
    </row>
    <row r="96" spans="1:5" ht="15.95" customHeight="1" x14ac:dyDescent="0.25">
      <c r="A96" s="19" t="s">
        <v>591</v>
      </c>
      <c r="B96" s="20" t="s">
        <v>592</v>
      </c>
      <c r="C96" s="3" t="s">
        <v>294</v>
      </c>
      <c r="D96" s="4"/>
      <c r="E96" s="21" t="s">
        <v>542</v>
      </c>
    </row>
    <row r="97" spans="1:5" ht="15.95" customHeight="1" x14ac:dyDescent="0.25">
      <c r="A97" s="16" t="s">
        <v>207</v>
      </c>
      <c r="B97" s="17" t="s">
        <v>208</v>
      </c>
      <c r="C97" s="1" t="s">
        <v>26</v>
      </c>
      <c r="D97" s="2" t="s">
        <v>210</v>
      </c>
      <c r="E97" s="18">
        <f>11</f>
        <v>11</v>
      </c>
    </row>
    <row r="98" spans="1:5" ht="15.95" customHeight="1" x14ac:dyDescent="0.25">
      <c r="A98" s="19" t="s">
        <v>437</v>
      </c>
      <c r="B98" s="20" t="s">
        <v>438</v>
      </c>
      <c r="C98" s="3" t="s">
        <v>294</v>
      </c>
      <c r="D98" s="4" t="s">
        <v>189</v>
      </c>
      <c r="E98" s="21">
        <f>1000</f>
        <v>1000</v>
      </c>
    </row>
    <row r="99" spans="1:5" ht="15.95" customHeight="1" x14ac:dyDescent="0.25">
      <c r="A99" s="19" t="s">
        <v>248</v>
      </c>
      <c r="B99" s="20" t="s">
        <v>468</v>
      </c>
      <c r="C99" s="3" t="s">
        <v>294</v>
      </c>
      <c r="D99" s="4" t="s">
        <v>293</v>
      </c>
      <c r="E99" s="21">
        <f>0</f>
        <v>0</v>
      </c>
    </row>
    <row r="100" spans="1:5" ht="15.95" customHeight="1" x14ac:dyDescent="0.25">
      <c r="A100" s="16" t="s">
        <v>244</v>
      </c>
      <c r="B100" s="17" t="s">
        <v>245</v>
      </c>
      <c r="C100" s="1" t="s">
        <v>26</v>
      </c>
      <c r="D100" s="2" t="s">
        <v>247</v>
      </c>
      <c r="E100" s="18">
        <f>1 - E99</f>
        <v>1</v>
      </c>
    </row>
    <row r="101" spans="1:5" ht="15.95" customHeight="1" x14ac:dyDescent="0.25">
      <c r="A101" s="19" t="s">
        <v>593</v>
      </c>
      <c r="B101" s="20" t="s">
        <v>594</v>
      </c>
      <c r="C101" s="3" t="s">
        <v>294</v>
      </c>
      <c r="D101" s="4"/>
      <c r="E101" s="21" t="s">
        <v>542</v>
      </c>
    </row>
    <row r="102" spans="1:5" ht="15.95" customHeight="1" x14ac:dyDescent="0.25">
      <c r="A102" s="19" t="s">
        <v>595</v>
      </c>
      <c r="B102" s="20" t="s">
        <v>596</v>
      </c>
      <c r="C102" s="3" t="s">
        <v>294</v>
      </c>
      <c r="D102" s="4"/>
      <c r="E102" s="21" t="s">
        <v>542</v>
      </c>
    </row>
    <row r="103" spans="1:5" ht="15.95" customHeight="1" x14ac:dyDescent="0.25">
      <c r="A103" s="16" t="s">
        <v>89</v>
      </c>
      <c r="B103" s="17" t="s">
        <v>90</v>
      </c>
      <c r="C103" s="1" t="s">
        <v>26</v>
      </c>
      <c r="D103" s="2" t="s">
        <v>92</v>
      </c>
      <c r="E103" s="18">
        <f>1 - E85</f>
        <v>0.95</v>
      </c>
    </row>
    <row r="104" spans="1:5" ht="15.95" customHeight="1" x14ac:dyDescent="0.25">
      <c r="A104" s="19" t="s">
        <v>412</v>
      </c>
      <c r="B104" s="20" t="s">
        <v>413</v>
      </c>
      <c r="C104" s="3" t="s">
        <v>294</v>
      </c>
      <c r="D104" s="4" t="s">
        <v>415</v>
      </c>
      <c r="E104" s="21">
        <f>-3 * (100 / E11)</f>
        <v>-30</v>
      </c>
    </row>
    <row r="105" spans="1:5" ht="15.95" customHeight="1" x14ac:dyDescent="0.25">
      <c r="A105" s="19" t="s">
        <v>372</v>
      </c>
      <c r="B105" s="20" t="s">
        <v>373</v>
      </c>
      <c r="C105" s="3" t="s">
        <v>294</v>
      </c>
      <c r="D105" s="4" t="s">
        <v>293</v>
      </c>
      <c r="E105" s="21">
        <f>0</f>
        <v>0</v>
      </c>
    </row>
    <row r="106" spans="1:5" ht="15.95" customHeight="1" x14ac:dyDescent="0.25">
      <c r="A106" s="19" t="s">
        <v>597</v>
      </c>
      <c r="B106" s="20" t="s">
        <v>598</v>
      </c>
      <c r="C106" s="3" t="s">
        <v>294</v>
      </c>
      <c r="D106" s="4"/>
      <c r="E106" s="21" t="s">
        <v>542</v>
      </c>
    </row>
    <row r="107" spans="1:5" ht="15.95" customHeight="1" x14ac:dyDescent="0.25">
      <c r="A107" s="16" t="s">
        <v>100</v>
      </c>
      <c r="B107" s="17" t="s">
        <v>101</v>
      </c>
      <c r="C107" s="1" t="s">
        <v>26</v>
      </c>
      <c r="D107" s="2" t="s">
        <v>103</v>
      </c>
      <c r="E107" s="18">
        <f>(5 + E7 * 0.75)</f>
        <v>12.5</v>
      </c>
    </row>
    <row r="108" spans="1:5" ht="15.95" customHeight="1" x14ac:dyDescent="0.25">
      <c r="A108" s="19" t="s">
        <v>599</v>
      </c>
      <c r="B108" s="20" t="s">
        <v>600</v>
      </c>
      <c r="C108" s="3" t="s">
        <v>294</v>
      </c>
      <c r="D108" s="4"/>
      <c r="E108" s="21" t="s">
        <v>542</v>
      </c>
    </row>
    <row r="109" spans="1:5" ht="15.95" customHeight="1" x14ac:dyDescent="0.25">
      <c r="A109" s="19" t="s">
        <v>156</v>
      </c>
      <c r="B109" s="20" t="s">
        <v>420</v>
      </c>
      <c r="C109" s="3" t="s">
        <v>294</v>
      </c>
      <c r="D109" s="4" t="s">
        <v>293</v>
      </c>
      <c r="E109" s="21">
        <f>0</f>
        <v>0</v>
      </c>
    </row>
    <row r="110" spans="1:5" ht="15.95" customHeight="1" x14ac:dyDescent="0.25">
      <c r="A110" s="16" t="s">
        <v>152</v>
      </c>
      <c r="B110" s="17" t="s">
        <v>153</v>
      </c>
      <c r="C110" s="1" t="s">
        <v>26</v>
      </c>
      <c r="D110" s="2" t="s">
        <v>155</v>
      </c>
      <c r="E110" s="18">
        <f>1 - E109</f>
        <v>1</v>
      </c>
    </row>
    <row r="111" spans="1:5" ht="15.95" customHeight="1" x14ac:dyDescent="0.25">
      <c r="A111" s="19" t="s">
        <v>114</v>
      </c>
      <c r="B111" s="20" t="s">
        <v>361</v>
      </c>
      <c r="C111" s="3" t="s">
        <v>294</v>
      </c>
      <c r="D111" s="4" t="s">
        <v>293</v>
      </c>
      <c r="E111" s="21">
        <f>0</f>
        <v>0</v>
      </c>
    </row>
    <row r="112" spans="1:5" ht="15.95" customHeight="1" x14ac:dyDescent="0.25">
      <c r="A112" s="16" t="s">
        <v>110</v>
      </c>
      <c r="B112" s="17" t="s">
        <v>111</v>
      </c>
      <c r="C112" s="1" t="s">
        <v>26</v>
      </c>
      <c r="D112" s="2" t="s">
        <v>113</v>
      </c>
      <c r="E112" s="18">
        <f>1 - E111</f>
        <v>1</v>
      </c>
    </row>
    <row r="113" spans="1:5" ht="15.95" customHeight="1" x14ac:dyDescent="0.25">
      <c r="A113" s="19" t="s">
        <v>434</v>
      </c>
      <c r="B113" s="20" t="s">
        <v>435</v>
      </c>
      <c r="C113" s="3" t="s">
        <v>294</v>
      </c>
      <c r="D113" s="4" t="s">
        <v>189</v>
      </c>
      <c r="E113" s="21">
        <f>1000</f>
        <v>1000</v>
      </c>
    </row>
    <row r="114" spans="1:5" ht="15.95" customHeight="1" x14ac:dyDescent="0.25">
      <c r="A114" s="19" t="s">
        <v>82</v>
      </c>
      <c r="B114" s="20" t="s">
        <v>354</v>
      </c>
      <c r="C114" s="3" t="s">
        <v>294</v>
      </c>
      <c r="D114" s="4" t="s">
        <v>293</v>
      </c>
      <c r="E114" s="21">
        <f>0</f>
        <v>0</v>
      </c>
    </row>
    <row r="115" spans="1:5" ht="15.95" customHeight="1" x14ac:dyDescent="0.25">
      <c r="A115" s="19" t="s">
        <v>601</v>
      </c>
      <c r="B115" s="20" t="s">
        <v>602</v>
      </c>
      <c r="C115" s="3" t="s">
        <v>294</v>
      </c>
      <c r="D115" s="4"/>
      <c r="E115" s="21" t="s">
        <v>542</v>
      </c>
    </row>
    <row r="116" spans="1:5" ht="15.95" customHeight="1" x14ac:dyDescent="0.25">
      <c r="A116" s="19" t="s">
        <v>603</v>
      </c>
      <c r="B116" s="20" t="s">
        <v>604</v>
      </c>
      <c r="C116" s="3" t="s">
        <v>294</v>
      </c>
      <c r="D116" s="4"/>
      <c r="E116" s="21" t="s">
        <v>542</v>
      </c>
    </row>
    <row r="117" spans="1:5" ht="15.95" customHeight="1" x14ac:dyDescent="0.25">
      <c r="A117" s="19" t="s">
        <v>431</v>
      </c>
      <c r="B117" s="20" t="s">
        <v>432</v>
      </c>
      <c r="C117" s="3" t="s">
        <v>294</v>
      </c>
      <c r="D117" s="4" t="s">
        <v>189</v>
      </c>
      <c r="E117" s="21">
        <f>1000</f>
        <v>1000</v>
      </c>
    </row>
    <row r="118" spans="1:5" ht="15.95" customHeight="1" x14ac:dyDescent="0.25">
      <c r="A118" s="19" t="s">
        <v>605</v>
      </c>
      <c r="B118" s="20" t="s">
        <v>606</v>
      </c>
      <c r="C118" s="3" t="s">
        <v>294</v>
      </c>
      <c r="D118" s="4"/>
      <c r="E118" s="21" t="s">
        <v>542</v>
      </c>
    </row>
    <row r="119" spans="1:5" ht="15.95" customHeight="1" x14ac:dyDescent="0.25">
      <c r="A119" s="19" t="s">
        <v>283</v>
      </c>
      <c r="B119" s="20" t="s">
        <v>479</v>
      </c>
      <c r="C119" s="3" t="s">
        <v>294</v>
      </c>
      <c r="D119" s="4" t="s">
        <v>293</v>
      </c>
      <c r="E119" s="21">
        <f>0</f>
        <v>0</v>
      </c>
    </row>
    <row r="120" spans="1:5" ht="15.95" customHeight="1" x14ac:dyDescent="0.25">
      <c r="A120" s="16" t="s">
        <v>279</v>
      </c>
      <c r="B120" s="17" t="s">
        <v>280</v>
      </c>
      <c r="C120" s="1" t="s">
        <v>26</v>
      </c>
      <c r="D120" s="2" t="s">
        <v>282</v>
      </c>
      <c r="E120" s="18">
        <f>1 - E119</f>
        <v>1</v>
      </c>
    </row>
    <row r="121" spans="1:5" ht="15.95" customHeight="1" x14ac:dyDescent="0.25">
      <c r="A121" s="19" t="s">
        <v>295</v>
      </c>
      <c r="B121" s="20" t="s">
        <v>296</v>
      </c>
      <c r="C121" s="3" t="s">
        <v>294</v>
      </c>
      <c r="D121" s="4" t="s">
        <v>293</v>
      </c>
      <c r="E121" s="21">
        <f>0</f>
        <v>0</v>
      </c>
    </row>
    <row r="122" spans="1:5" ht="15.95" customHeight="1" x14ac:dyDescent="0.25">
      <c r="A122" s="19" t="s">
        <v>321</v>
      </c>
      <c r="B122" s="20" t="s">
        <v>322</v>
      </c>
      <c r="C122" s="3" t="s">
        <v>294</v>
      </c>
      <c r="D122" s="4" t="s">
        <v>324</v>
      </c>
      <c r="E122" s="21">
        <f>(E121 * (1 + E53))</f>
        <v>0</v>
      </c>
    </row>
    <row r="123" spans="1:5" ht="15.95" customHeight="1" x14ac:dyDescent="0.25">
      <c r="A123" s="19" t="s">
        <v>375</v>
      </c>
      <c r="B123" s="20" t="s">
        <v>376</v>
      </c>
      <c r="C123" s="3" t="s">
        <v>294</v>
      </c>
      <c r="D123" s="4" t="s">
        <v>378</v>
      </c>
      <c r="E123" s="21">
        <f>(E84 * (1 + E18))</f>
        <v>13</v>
      </c>
    </row>
    <row r="124" spans="1:5" ht="15.95" customHeight="1" x14ac:dyDescent="0.25">
      <c r="A124" s="13" t="s">
        <v>302</v>
      </c>
      <c r="B124" s="14" t="s">
        <v>302</v>
      </c>
      <c r="C124" s="5" t="s">
        <v>485</v>
      </c>
      <c r="D124" s="6" t="s">
        <v>293</v>
      </c>
      <c r="E124" s="15">
        <f>E9</f>
        <v>10</v>
      </c>
    </row>
    <row r="125" spans="1:5" ht="15.95" customHeight="1" x14ac:dyDescent="0.25">
      <c r="A125" s="19" t="s">
        <v>369</v>
      </c>
      <c r="B125" s="20" t="s">
        <v>370</v>
      </c>
      <c r="C125" s="3" t="s">
        <v>294</v>
      </c>
      <c r="D125" s="4" t="s">
        <v>319</v>
      </c>
      <c r="E125" s="21">
        <f>(E9 * 0.01)</f>
        <v>0.1</v>
      </c>
    </row>
    <row r="126" spans="1:5" ht="15.95" customHeight="1" x14ac:dyDescent="0.25">
      <c r="A126" s="19" t="s">
        <v>607</v>
      </c>
      <c r="B126" s="20" t="s">
        <v>608</v>
      </c>
      <c r="C126" s="3" t="s">
        <v>294</v>
      </c>
      <c r="D126" s="4"/>
      <c r="E126" s="21" t="s">
        <v>542</v>
      </c>
    </row>
    <row r="127" spans="1:5" ht="15.95" customHeight="1" x14ac:dyDescent="0.25">
      <c r="A127" s="19" t="s">
        <v>609</v>
      </c>
      <c r="B127" s="20" t="s">
        <v>610</v>
      </c>
      <c r="C127" s="3" t="s">
        <v>294</v>
      </c>
      <c r="D127" s="4"/>
      <c r="E127" s="21" t="s">
        <v>542</v>
      </c>
    </row>
    <row r="128" spans="1:5" ht="15.95" customHeight="1" x14ac:dyDescent="0.25">
      <c r="A128" s="16" t="s">
        <v>201</v>
      </c>
      <c r="B128" s="17" t="s">
        <v>202</v>
      </c>
      <c r="C128" s="1" t="s">
        <v>26</v>
      </c>
      <c r="D128" s="2" t="s">
        <v>204</v>
      </c>
      <c r="E128" s="18">
        <f>1 - E63</f>
        <v>1</v>
      </c>
    </row>
    <row r="129" spans="1:5" ht="15.95" customHeight="1" x14ac:dyDescent="0.25">
      <c r="A129" s="16" t="s">
        <v>63</v>
      </c>
      <c r="B129" s="17" t="s">
        <v>64</v>
      </c>
      <c r="C129" s="1" t="s">
        <v>26</v>
      </c>
      <c r="D129" s="2" t="s">
        <v>60</v>
      </c>
      <c r="E129" s="18">
        <f>(1 + E8 * 0.005)</f>
        <v>1.05</v>
      </c>
    </row>
    <row r="130" spans="1:5" ht="15.95" customHeight="1" x14ac:dyDescent="0.25">
      <c r="A130" s="19" t="s">
        <v>440</v>
      </c>
      <c r="B130" s="20" t="s">
        <v>441</v>
      </c>
      <c r="C130" s="3" t="s">
        <v>294</v>
      </c>
      <c r="D130" s="4" t="s">
        <v>189</v>
      </c>
      <c r="E130" s="21">
        <f>1000</f>
        <v>1000</v>
      </c>
    </row>
    <row r="131" spans="1:5" ht="15.95" customHeight="1" x14ac:dyDescent="0.25">
      <c r="A131" s="22" t="s">
        <v>611</v>
      </c>
      <c r="B131" s="23" t="s">
        <v>611</v>
      </c>
      <c r="C131" s="24" t="s">
        <v>612</v>
      </c>
      <c r="D131" s="25"/>
      <c r="E131" s="26" t="s">
        <v>542</v>
      </c>
    </row>
    <row r="132" spans="1:5" ht="15.95" customHeight="1" x14ac:dyDescent="0.25">
      <c r="A132" s="19" t="s">
        <v>315</v>
      </c>
      <c r="B132" s="20" t="s">
        <v>317</v>
      </c>
      <c r="C132" s="3" t="s">
        <v>294</v>
      </c>
      <c r="D132" s="4" t="s">
        <v>319</v>
      </c>
      <c r="E132" s="21">
        <f>(E9 * 0.01)</f>
        <v>0.1</v>
      </c>
    </row>
    <row r="133" spans="1:5" ht="15.95" customHeight="1" x14ac:dyDescent="0.25">
      <c r="A133" s="19" t="s">
        <v>311</v>
      </c>
      <c r="B133" s="20" t="s">
        <v>312</v>
      </c>
      <c r="C133" s="3" t="s">
        <v>294</v>
      </c>
      <c r="D133" s="4" t="s">
        <v>314</v>
      </c>
      <c r="E133" s="21">
        <f>(4 * (1 - (E132)))</f>
        <v>3.6</v>
      </c>
    </row>
    <row r="134" spans="1:5" ht="15.95" customHeight="1" x14ac:dyDescent="0.25">
      <c r="A134" s="19" t="s">
        <v>613</v>
      </c>
      <c r="B134" s="20" t="s">
        <v>614</v>
      </c>
      <c r="C134" s="3" t="s">
        <v>294</v>
      </c>
      <c r="D134" s="4"/>
      <c r="E134" s="21" t="s">
        <v>542</v>
      </c>
    </row>
    <row r="135" spans="1:5" ht="15.95" customHeight="1" x14ac:dyDescent="0.25">
      <c r="A135" s="19" t="s">
        <v>615</v>
      </c>
      <c r="B135" s="20" t="s">
        <v>616</v>
      </c>
      <c r="C135" s="3" t="s">
        <v>294</v>
      </c>
      <c r="D135" s="4"/>
      <c r="E135" s="21" t="s">
        <v>542</v>
      </c>
    </row>
    <row r="136" spans="1:5" ht="15.95" customHeight="1" x14ac:dyDescent="0.25">
      <c r="A136" s="19" t="s">
        <v>617</v>
      </c>
      <c r="B136" s="20" t="s">
        <v>618</v>
      </c>
      <c r="C136" s="3" t="s">
        <v>294</v>
      </c>
      <c r="D136" s="4"/>
      <c r="E136" s="21" t="s">
        <v>542</v>
      </c>
    </row>
    <row r="137" spans="1:5" ht="15.95" customHeight="1" x14ac:dyDescent="0.25">
      <c r="A137" s="19" t="s">
        <v>162</v>
      </c>
      <c r="B137" s="20" t="s">
        <v>422</v>
      </c>
      <c r="C137" s="3" t="s">
        <v>294</v>
      </c>
      <c r="D137" s="4" t="s">
        <v>293</v>
      </c>
      <c r="E137" s="21">
        <f>0</f>
        <v>0</v>
      </c>
    </row>
    <row r="138" spans="1:5" ht="15.95" customHeight="1" x14ac:dyDescent="0.25">
      <c r="A138" s="19" t="s">
        <v>619</v>
      </c>
      <c r="B138" s="20" t="s">
        <v>620</v>
      </c>
      <c r="C138" s="3" t="s">
        <v>294</v>
      </c>
      <c r="D138" s="4"/>
      <c r="E138" s="21" t="s">
        <v>542</v>
      </c>
    </row>
    <row r="139" spans="1:5" ht="15.95" customHeight="1" x14ac:dyDescent="0.25">
      <c r="A139" s="16" t="s">
        <v>106</v>
      </c>
      <c r="B139" s="17" t="s">
        <v>107</v>
      </c>
      <c r="C139" s="1" t="s">
        <v>26</v>
      </c>
      <c r="D139" s="2" t="s">
        <v>109</v>
      </c>
      <c r="E139" s="18">
        <f>100</f>
        <v>100</v>
      </c>
    </row>
    <row r="140" spans="1:5" ht="15.95" customHeight="1" x14ac:dyDescent="0.25">
      <c r="A140" s="19" t="s">
        <v>621</v>
      </c>
      <c r="B140" s="20" t="s">
        <v>622</v>
      </c>
      <c r="C140" s="3" t="s">
        <v>294</v>
      </c>
      <c r="D140" s="4"/>
      <c r="E140" s="21" t="s">
        <v>542</v>
      </c>
    </row>
    <row r="141" spans="1:5" ht="15.95" customHeight="1" x14ac:dyDescent="0.25">
      <c r="A141" s="16" t="s">
        <v>84</v>
      </c>
      <c r="B141" s="17" t="s">
        <v>85</v>
      </c>
      <c r="C141" s="1" t="s">
        <v>26</v>
      </c>
      <c r="D141" s="2" t="s">
        <v>87</v>
      </c>
      <c r="E141" s="18">
        <f>E31</f>
        <v>7200</v>
      </c>
    </row>
    <row r="142" spans="1:5" ht="15.95" customHeight="1" x14ac:dyDescent="0.25">
      <c r="A142" s="19" t="s">
        <v>623</v>
      </c>
      <c r="B142" s="20" t="s">
        <v>624</v>
      </c>
      <c r="C142" s="3" t="s">
        <v>294</v>
      </c>
      <c r="D142" s="4"/>
      <c r="E142" s="21" t="s">
        <v>542</v>
      </c>
    </row>
    <row r="143" spans="1:5" ht="15.95" customHeight="1" x14ac:dyDescent="0.25">
      <c r="A143" s="13" t="s">
        <v>289</v>
      </c>
      <c r="B143" s="14" t="s">
        <v>289</v>
      </c>
      <c r="C143" s="5" t="s">
        <v>485</v>
      </c>
      <c r="D143" s="6" t="s">
        <v>293</v>
      </c>
      <c r="E143" s="15">
        <f>E12</f>
        <v>10</v>
      </c>
    </row>
    <row r="144" spans="1:5" ht="15.95" customHeight="1" x14ac:dyDescent="0.25">
      <c r="A144" s="16" t="s">
        <v>285</v>
      </c>
      <c r="B144" s="17" t="s">
        <v>286</v>
      </c>
      <c r="C144" s="1" t="s">
        <v>26</v>
      </c>
      <c r="D144" s="2" t="s">
        <v>288</v>
      </c>
      <c r="E144" s="18">
        <f>(1 + E12 * 0.01)</f>
        <v>1.1000000000000001</v>
      </c>
    </row>
    <row r="145" spans="1:5" ht="15.95" customHeight="1" x14ac:dyDescent="0.25">
      <c r="A145" s="19" t="s">
        <v>76</v>
      </c>
      <c r="B145" s="20" t="s">
        <v>352</v>
      </c>
      <c r="C145" s="3" t="s">
        <v>294</v>
      </c>
      <c r="D145" s="4" t="s">
        <v>30</v>
      </c>
      <c r="E145" s="21">
        <f>10</f>
        <v>10</v>
      </c>
    </row>
    <row r="146" spans="1:5" ht="15.95" customHeight="1" x14ac:dyDescent="0.25">
      <c r="A146" s="16" t="s">
        <v>211</v>
      </c>
      <c r="B146" s="17" t="s">
        <v>212</v>
      </c>
      <c r="C146" s="1" t="s">
        <v>26</v>
      </c>
      <c r="D146" s="2" t="s">
        <v>214</v>
      </c>
      <c r="E146" s="18">
        <f>(1 + E7 * 0.01)</f>
        <v>1.1000000000000001</v>
      </c>
    </row>
    <row r="147" spans="1:5" ht="15.95" customHeight="1" x14ac:dyDescent="0.25">
      <c r="A147" s="19" t="s">
        <v>343</v>
      </c>
      <c r="B147" s="20" t="s">
        <v>344</v>
      </c>
      <c r="C147" s="3" t="s">
        <v>294</v>
      </c>
      <c r="D147" s="4" t="s">
        <v>346</v>
      </c>
      <c r="E147" s="21">
        <f>(1 + E11 * 0.005)</f>
        <v>1.05</v>
      </c>
    </row>
    <row r="148" spans="1:5" ht="15.95" customHeight="1" x14ac:dyDescent="0.25">
      <c r="A148" s="16" t="s">
        <v>256</v>
      </c>
      <c r="B148" s="17" t="s">
        <v>257</v>
      </c>
      <c r="C148" s="1" t="s">
        <v>26</v>
      </c>
      <c r="D148" s="2" t="s">
        <v>259</v>
      </c>
      <c r="E148" s="18">
        <f>1 - E80</f>
        <v>1</v>
      </c>
    </row>
    <row r="149" spans="1:5" ht="15.95" customHeight="1" x14ac:dyDescent="0.25">
      <c r="A149" s="19" t="s">
        <v>23</v>
      </c>
      <c r="B149" s="20" t="s">
        <v>291</v>
      </c>
      <c r="C149" s="3" t="s">
        <v>294</v>
      </c>
      <c r="D149" s="4" t="s">
        <v>293</v>
      </c>
      <c r="E149" s="21">
        <f>0</f>
        <v>0</v>
      </c>
    </row>
    <row r="150" spans="1:5" ht="15.95" customHeight="1" x14ac:dyDescent="0.25">
      <c r="A150" s="16" t="s">
        <v>78</v>
      </c>
      <c r="B150" s="17" t="s">
        <v>79</v>
      </c>
      <c r="C150" s="1" t="s">
        <v>26</v>
      </c>
      <c r="D150" s="2" t="s">
        <v>81</v>
      </c>
      <c r="E150" s="18">
        <f>1 - E114</f>
        <v>1</v>
      </c>
    </row>
    <row r="151" spans="1:5" ht="15.95" customHeight="1" x14ac:dyDescent="0.25">
      <c r="A151" s="19" t="s">
        <v>337</v>
      </c>
      <c r="B151" s="20" t="s">
        <v>338</v>
      </c>
      <c r="C151" s="3" t="s">
        <v>294</v>
      </c>
      <c r="D151" s="4" t="s">
        <v>340</v>
      </c>
      <c r="E151" s="21">
        <f>-10 * (100 / E11)</f>
        <v>-100</v>
      </c>
    </row>
    <row r="152" spans="1:5" ht="15.95" customHeight="1" x14ac:dyDescent="0.25">
      <c r="A152" s="19" t="s">
        <v>625</v>
      </c>
      <c r="B152" s="20" t="s">
        <v>626</v>
      </c>
      <c r="C152" s="3" t="s">
        <v>294</v>
      </c>
      <c r="D152" s="4"/>
      <c r="E152" s="21" t="s">
        <v>542</v>
      </c>
    </row>
    <row r="153" spans="1:5" ht="15.95" customHeight="1" x14ac:dyDescent="0.25">
      <c r="A153" s="19" t="s">
        <v>298</v>
      </c>
      <c r="B153" s="20" t="s">
        <v>299</v>
      </c>
      <c r="C153" s="3" t="s">
        <v>294</v>
      </c>
      <c r="D153" s="4" t="s">
        <v>301</v>
      </c>
      <c r="E153" s="21">
        <f>(E9 * 0.002)</f>
        <v>0.02</v>
      </c>
    </row>
    <row r="154" spans="1:5" ht="15.95" customHeight="1" x14ac:dyDescent="0.25">
      <c r="A154" s="19" t="s">
        <v>363</v>
      </c>
      <c r="B154" s="20" t="s">
        <v>364</v>
      </c>
      <c r="C154" s="3" t="s">
        <v>294</v>
      </c>
      <c r="D154" s="4" t="s">
        <v>366</v>
      </c>
      <c r="E154" s="21">
        <f>(E153 * (1 + E125))</f>
        <v>2.2000000000000002E-2</v>
      </c>
    </row>
    <row r="155" spans="1:5" ht="15.95" customHeight="1" x14ac:dyDescent="0.25">
      <c r="A155" s="16" t="s">
        <v>186</v>
      </c>
      <c r="B155" s="17" t="s">
        <v>187</v>
      </c>
      <c r="C155" s="1" t="s">
        <v>26</v>
      </c>
      <c r="D155" s="2" t="s">
        <v>189</v>
      </c>
      <c r="E155" s="18">
        <f>1000</f>
        <v>1000</v>
      </c>
    </row>
    <row r="156" spans="1:5" ht="15.95" customHeight="1" x14ac:dyDescent="0.25">
      <c r="A156" s="19" t="s">
        <v>70</v>
      </c>
      <c r="B156" s="20" t="s">
        <v>332</v>
      </c>
      <c r="C156" s="3" t="s">
        <v>294</v>
      </c>
      <c r="D156" s="4" t="s">
        <v>293</v>
      </c>
      <c r="E156" s="21">
        <f>0</f>
        <v>0</v>
      </c>
    </row>
    <row r="157" spans="1:5" ht="15.95" customHeight="1" x14ac:dyDescent="0.25">
      <c r="A157" s="16" t="s">
        <v>274</v>
      </c>
      <c r="B157" s="17" t="s">
        <v>275</v>
      </c>
      <c r="C157" s="1" t="s">
        <v>26</v>
      </c>
      <c r="D157" s="2" t="s">
        <v>277</v>
      </c>
      <c r="E157" s="18">
        <f>(1 - E7 * 0.005)</f>
        <v>0.95</v>
      </c>
    </row>
    <row r="158" spans="1:5" ht="15.95" customHeight="1" x14ac:dyDescent="0.25">
      <c r="A158" s="19" t="s">
        <v>356</v>
      </c>
      <c r="B158" s="20" t="s">
        <v>357</v>
      </c>
      <c r="C158" s="3" t="s">
        <v>294</v>
      </c>
      <c r="D158" s="4" t="s">
        <v>359</v>
      </c>
      <c r="E158" s="21">
        <f>20 * (E11 / 100)</f>
        <v>2</v>
      </c>
    </row>
    <row r="159" spans="1:5" ht="15.95" customHeight="1" x14ac:dyDescent="0.25">
      <c r="A159" s="19" t="s">
        <v>334</v>
      </c>
      <c r="B159" s="20" t="s">
        <v>335</v>
      </c>
      <c r="C159" s="3" t="s">
        <v>294</v>
      </c>
      <c r="D159" s="4" t="s">
        <v>336</v>
      </c>
      <c r="E159" s="21">
        <f>1</f>
        <v>1</v>
      </c>
    </row>
    <row r="160" spans="1:5" ht="15.95" customHeight="1" x14ac:dyDescent="0.25">
      <c r="A160" s="19" t="s">
        <v>463</v>
      </c>
      <c r="B160" s="20" t="s">
        <v>464</v>
      </c>
      <c r="C160" s="3" t="s">
        <v>294</v>
      </c>
      <c r="D160" s="4" t="s">
        <v>293</v>
      </c>
      <c r="E160" s="21">
        <f>0</f>
        <v>0</v>
      </c>
    </row>
    <row r="161" spans="1:5" ht="15.95" customHeight="1" x14ac:dyDescent="0.25">
      <c r="A161" s="19" t="s">
        <v>627</v>
      </c>
      <c r="B161" s="20" t="s">
        <v>628</v>
      </c>
      <c r="C161" s="3" t="s">
        <v>294</v>
      </c>
      <c r="D161" s="4"/>
      <c r="E161" s="21" t="s">
        <v>542</v>
      </c>
    </row>
    <row r="162" spans="1:5" ht="15.95" customHeight="1" x14ac:dyDescent="0.25">
      <c r="A162" s="19" t="s">
        <v>629</v>
      </c>
      <c r="B162" s="20" t="s">
        <v>630</v>
      </c>
      <c r="C162" s="3" t="s">
        <v>294</v>
      </c>
      <c r="D162" s="4"/>
      <c r="E162" s="21" t="s">
        <v>542</v>
      </c>
    </row>
    <row r="163" spans="1:5" ht="15.95" customHeight="1" x14ac:dyDescent="0.25">
      <c r="A163" s="19" t="s">
        <v>631</v>
      </c>
      <c r="B163" s="20" t="s">
        <v>632</v>
      </c>
      <c r="C163" s="3" t="s">
        <v>294</v>
      </c>
      <c r="D163" s="4"/>
      <c r="E163" s="21" t="s">
        <v>542</v>
      </c>
    </row>
    <row r="164" spans="1:5" ht="15.95" customHeight="1" x14ac:dyDescent="0.25">
      <c r="A164" s="16" t="s">
        <v>131</v>
      </c>
      <c r="B164" s="17" t="s">
        <v>132</v>
      </c>
      <c r="C164" s="1" t="s">
        <v>26</v>
      </c>
      <c r="D164" s="2" t="s">
        <v>134</v>
      </c>
      <c r="E164" s="18">
        <f>(1 + E8 * 0.01)</f>
        <v>1.1000000000000001</v>
      </c>
    </row>
    <row r="165" spans="1:5" ht="15.95" customHeight="1" x14ac:dyDescent="0.25">
      <c r="A165" s="16" t="s">
        <v>190</v>
      </c>
      <c r="B165" s="17" t="s">
        <v>191</v>
      </c>
      <c r="C165" s="1" t="s">
        <v>26</v>
      </c>
      <c r="D165" s="2" t="s">
        <v>109</v>
      </c>
      <c r="E165" s="18">
        <f>100</f>
        <v>100</v>
      </c>
    </row>
    <row r="166" spans="1:5" ht="15.95" customHeight="1" x14ac:dyDescent="0.25">
      <c r="A166" s="19" t="s">
        <v>633</v>
      </c>
      <c r="B166" s="20" t="s">
        <v>634</v>
      </c>
      <c r="C166" s="3" t="s">
        <v>294</v>
      </c>
      <c r="D166" s="4"/>
      <c r="E166" s="21" t="s">
        <v>542</v>
      </c>
    </row>
    <row r="167" spans="1:5" ht="15.95" customHeight="1" x14ac:dyDescent="0.25">
      <c r="A167" s="16" t="s">
        <v>158</v>
      </c>
      <c r="B167" s="17" t="s">
        <v>159</v>
      </c>
      <c r="C167" s="1" t="s">
        <v>26</v>
      </c>
      <c r="D167" s="2" t="s">
        <v>161</v>
      </c>
      <c r="E167" s="18">
        <f>1 - (0.003 * E137) / (1 + 0.003 * E137)</f>
        <v>1</v>
      </c>
    </row>
    <row r="168" spans="1:5" ht="15.95" customHeight="1" x14ac:dyDescent="0.25">
      <c r="A168" s="19" t="s">
        <v>383</v>
      </c>
      <c r="B168" s="20" t="s">
        <v>384</v>
      </c>
      <c r="C168" s="3" t="s">
        <v>294</v>
      </c>
      <c r="D168" s="4" t="s">
        <v>386</v>
      </c>
      <c r="E168" s="21">
        <f>(0.1 + E11 * 0.005)</f>
        <v>0.15000000000000002</v>
      </c>
    </row>
    <row r="169" spans="1:5" ht="15.95" customHeight="1" x14ac:dyDescent="0.25">
      <c r="A169" s="16" t="s">
        <v>127</v>
      </c>
      <c r="B169" s="17" t="s">
        <v>128</v>
      </c>
      <c r="C169" s="1" t="s">
        <v>26</v>
      </c>
      <c r="D169" s="2" t="s">
        <v>130</v>
      </c>
      <c r="E169" s="18">
        <f>20</f>
        <v>20</v>
      </c>
    </row>
    <row r="170" spans="1:5" ht="15.95" customHeight="1" x14ac:dyDescent="0.25">
      <c r="A170" s="19" t="s">
        <v>398</v>
      </c>
      <c r="B170" s="20" t="s">
        <v>399</v>
      </c>
      <c r="C170" s="3" t="s">
        <v>294</v>
      </c>
      <c r="D170" s="4" t="s">
        <v>401</v>
      </c>
      <c r="E170" s="21">
        <f>(E54 * (1 + E21))</f>
        <v>0.11000000000000001</v>
      </c>
    </row>
    <row r="171" spans="1:5" ht="15.95" customHeight="1" x14ac:dyDescent="0.25">
      <c r="A171" s="19" t="s">
        <v>635</v>
      </c>
      <c r="B171" s="20" t="s">
        <v>636</v>
      </c>
      <c r="C171" s="3" t="s">
        <v>294</v>
      </c>
      <c r="D171" s="4"/>
      <c r="E171" s="21" t="s">
        <v>542</v>
      </c>
    </row>
    <row r="172" spans="1:5" ht="15.95" customHeight="1" x14ac:dyDescent="0.25">
      <c r="A172" s="19" t="s">
        <v>481</v>
      </c>
      <c r="B172" s="20" t="s">
        <v>482</v>
      </c>
      <c r="C172" s="3" t="s">
        <v>294</v>
      </c>
      <c r="D172" s="4" t="s">
        <v>293</v>
      </c>
      <c r="E172" s="21">
        <f>0</f>
        <v>0</v>
      </c>
    </row>
    <row r="173" spans="1:5" ht="15.95" customHeight="1" x14ac:dyDescent="0.25">
      <c r="A173" s="19" t="s">
        <v>637</v>
      </c>
      <c r="B173" s="20" t="s">
        <v>638</v>
      </c>
      <c r="C173" s="3" t="s">
        <v>294</v>
      </c>
      <c r="D173" s="4"/>
      <c r="E173" s="21" t="s">
        <v>542</v>
      </c>
    </row>
    <row r="174" spans="1:5" ht="15.95" customHeight="1" x14ac:dyDescent="0.25">
      <c r="A174" s="19" t="s">
        <v>459</v>
      </c>
      <c r="B174" s="20" t="s">
        <v>460</v>
      </c>
      <c r="C174" s="3" t="s">
        <v>294</v>
      </c>
      <c r="D174" s="4" t="s">
        <v>462</v>
      </c>
      <c r="E174" s="21">
        <f>0.05</f>
        <v>0.05</v>
      </c>
    </row>
    <row r="175" spans="1:5" ht="15.95" customHeight="1" x14ac:dyDescent="0.25">
      <c r="A175" s="19" t="s">
        <v>391</v>
      </c>
      <c r="B175" s="20" t="s">
        <v>392</v>
      </c>
      <c r="C175" s="3" t="s">
        <v>294</v>
      </c>
      <c r="D175" s="4" t="s">
        <v>394</v>
      </c>
      <c r="E175" s="21">
        <f>1 - E70</f>
        <v>0.89500000000000002</v>
      </c>
    </row>
    <row r="176" spans="1:5" ht="15.95" customHeight="1" x14ac:dyDescent="0.25">
      <c r="A176" s="16" t="s">
        <v>19</v>
      </c>
      <c r="B176" s="17" t="s">
        <v>20</v>
      </c>
      <c r="C176" s="1" t="s">
        <v>26</v>
      </c>
      <c r="D176" s="2" t="s">
        <v>22</v>
      </c>
      <c r="E176" s="18">
        <f>1 - E149</f>
        <v>1</v>
      </c>
    </row>
    <row r="177" spans="1:5" ht="15.95" customHeight="1" x14ac:dyDescent="0.25">
      <c r="A177" s="16" t="s">
        <v>231</v>
      </c>
      <c r="B177" s="17" t="s">
        <v>232</v>
      </c>
      <c r="C177" s="1" t="s">
        <v>26</v>
      </c>
      <c r="D177" s="2" t="s">
        <v>234</v>
      </c>
      <c r="E177" s="18">
        <f>10000000</f>
        <v>10000000</v>
      </c>
    </row>
    <row r="178" spans="1:5" ht="15.95" customHeight="1" x14ac:dyDescent="0.25">
      <c r="A178" s="16" t="s">
        <v>72</v>
      </c>
      <c r="B178" s="17" t="s">
        <v>73</v>
      </c>
      <c r="C178" s="1" t="s">
        <v>26</v>
      </c>
      <c r="D178" s="2" t="s">
        <v>75</v>
      </c>
      <c r="E178" s="18">
        <f>(2 * (1 / (1 + EXP(-0.011 * E145))) - 1)</f>
        <v>5.494460868918738E-2</v>
      </c>
    </row>
    <row r="179" spans="1:5" ht="15.95" customHeight="1" x14ac:dyDescent="0.25">
      <c r="A179" s="19" t="s">
        <v>639</v>
      </c>
      <c r="B179" s="20" t="s">
        <v>640</v>
      </c>
      <c r="C179" s="3" t="s">
        <v>294</v>
      </c>
      <c r="D179" s="4"/>
      <c r="E179" s="21" t="s">
        <v>542</v>
      </c>
    </row>
    <row r="180" spans="1:5" ht="15.95" customHeight="1" x14ac:dyDescent="0.25">
      <c r="A180" s="16" t="s">
        <v>66</v>
      </c>
      <c r="B180" s="17" t="s">
        <v>67</v>
      </c>
      <c r="C180" s="1" t="s">
        <v>26</v>
      </c>
      <c r="D180" s="2" t="s">
        <v>69</v>
      </c>
      <c r="E180" s="18">
        <f>1 - E156</f>
        <v>1</v>
      </c>
    </row>
  </sheetData>
  <autoFilter ref="A16:E180" xr:uid="{00000000-0001-0000-0200-000000000000}"/>
  <mergeCells count="1">
    <mergeCell ref="A1:F1"/>
  </mergeCells>
  <dataValidations count="10">
    <dataValidation type="list" allowBlank="1" sqref="B2" xr:uid="{00000000-0002-0000-0200-000000000000}">
      <formula1>"Cait Sith (Arthurian),Dvergr (Viking),Firbog (TDD),Golem (Arthurian),Hamadryad (TDD),HumanMaleA (Arthurian),HumanMaleT (TDD),HumanMaleV (Viking),Jotnar (Viking),Luchorpan (TDD),Pict (Arthurian),St'rm (Arthurian),Stormrider (Arthurian),Valkyrie (Viking)"</formula1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6" xr:uid="{00000000-0002-0000-0200-000001000000}">
      <formula1>0</formula1>
      <formula2>MIN(40,C6+(130-SUM(C6:C14)))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7" xr:uid="{00000000-0002-0000-0200-000002000000}">
      <formula1>0</formula1>
      <formula2>MIN(40,C7+(130-SUM(C6:C14)))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8" xr:uid="{00000000-0002-0000-0200-000003000000}">
      <formula1>0</formula1>
      <formula2>MIN(40,C8+(130-SUM(C6:C14)))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9" xr:uid="{00000000-0002-0000-0200-000004000000}">
      <formula1>0</formula1>
      <formula2>MIN(40,C9+(130-SUM(C6:C14)))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10" xr:uid="{00000000-0002-0000-0200-000005000000}">
      <formula1>0</formula1>
      <formula2>MIN(40,C10+(130-SUM(C6:C14)))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11" xr:uid="{00000000-0002-0000-0200-000006000000}">
      <formula1>0</formula1>
      <formula2>MIN(40,C11+(130-SUM(C6:C14)))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12" xr:uid="{00000000-0002-0000-0200-000007000000}">
      <formula1>0</formula1>
      <formula2>MIN(40,C12+(130-SUM(C6:C14)))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13" xr:uid="{00000000-0002-0000-0200-000008000000}">
      <formula1>0</formula1>
      <formula2>MIN(40,C13+(130-SUM(C6:C14)))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14" xr:uid="{00000000-0002-0000-0200-000009000000}">
      <formula1>0</formula1>
      <formula2>MIN(40,C14+(130-SUM(C6:C14)))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95"/>
  <sheetViews>
    <sheetView workbookViewId="0">
      <pane ySplit="31" topLeftCell="A51" activePane="bottomLeft" state="frozen"/>
      <selection pane="bottomLeft" sqref="A1:F1"/>
    </sheetView>
  </sheetViews>
  <sheetFormatPr defaultRowHeight="15" x14ac:dyDescent="0.25"/>
  <cols>
    <col min="1" max="1" width="28" customWidth="1"/>
    <col min="2" max="2" width="14" customWidth="1"/>
    <col min="3" max="3" width="12" customWidth="1"/>
    <col min="4" max="4" width="55" customWidth="1"/>
    <col min="5" max="5" width="18" customWidth="1"/>
    <col min="6" max="11" width="12" customWidth="1"/>
    <col min="12" max="28" width="14" customWidth="1"/>
  </cols>
  <sheetData>
    <row r="1" spans="1:28" ht="27.95" customHeight="1" x14ac:dyDescent="0.25">
      <c r="A1" s="47" t="s">
        <v>641</v>
      </c>
      <c r="B1" s="48"/>
      <c r="C1" s="48"/>
      <c r="D1" s="48"/>
      <c r="E1" s="48"/>
      <c r="F1" s="48"/>
    </row>
    <row r="2" spans="1:28" x14ac:dyDescent="0.25">
      <c r="A2" s="7" t="s">
        <v>529</v>
      </c>
      <c r="B2" s="8" t="s">
        <v>498</v>
      </c>
    </row>
    <row r="3" spans="1:28" x14ac:dyDescent="0.25">
      <c r="A3" s="7" t="s">
        <v>530</v>
      </c>
      <c r="C3" s="7">
        <f>SUM(C6:C14)</f>
        <v>0</v>
      </c>
      <c r="D3" s="7" t="s">
        <v>531</v>
      </c>
      <c r="E3" s="7">
        <f>130-C3</f>
        <v>130</v>
      </c>
    </row>
    <row r="5" spans="1:28" x14ac:dyDescent="0.25">
      <c r="A5" s="9" t="s">
        <v>532</v>
      </c>
      <c r="B5" s="9" t="s">
        <v>533</v>
      </c>
      <c r="C5" s="9" t="s">
        <v>534</v>
      </c>
      <c r="D5" s="9" t="s">
        <v>535</v>
      </c>
      <c r="E5" s="9" t="s">
        <v>642</v>
      </c>
      <c r="F5" s="9" t="s">
        <v>536</v>
      </c>
    </row>
    <row r="6" spans="1:28" x14ac:dyDescent="0.25">
      <c r="A6" s="8" t="s">
        <v>266</v>
      </c>
      <c r="B6" s="8">
        <v>10</v>
      </c>
      <c r="C6" s="10">
        <v>0</v>
      </c>
      <c r="D6" s="8">
        <f>IFERROR(SUMPRODUCT(('Race Data'!B$2:B$50=B$2)*('Race Data'!D$2:D$50)),0)</f>
        <v>0</v>
      </c>
      <c r="E6" s="27">
        <f>SUM(C18:C29)</f>
        <v>0</v>
      </c>
      <c r="F6" s="11">
        <f>B6+C6+D6+E6</f>
        <v>10</v>
      </c>
    </row>
    <row r="7" spans="1:28" x14ac:dyDescent="0.25">
      <c r="A7" s="8" t="s">
        <v>104</v>
      </c>
      <c r="B7" s="8">
        <v>10</v>
      </c>
      <c r="C7" s="10">
        <v>0</v>
      </c>
      <c r="D7" s="8">
        <f>IFERROR(SUMPRODUCT(('Race Data'!B$2:B$50=B$2)*('Race Data'!E$2:E$50)),0)</f>
        <v>0</v>
      </c>
      <c r="E7" s="27">
        <f>SUM(D18:D29)</f>
        <v>0</v>
      </c>
      <c r="F7" s="11">
        <f t="shared" ref="F7:F14" si="0">B7+C7+D7+E7</f>
        <v>10</v>
      </c>
    </row>
    <row r="8" spans="1:28" x14ac:dyDescent="0.25">
      <c r="A8" s="8" t="s">
        <v>61</v>
      </c>
      <c r="B8" s="8">
        <v>10</v>
      </c>
      <c r="C8" s="10">
        <v>0</v>
      </c>
      <c r="D8" s="8">
        <f>IFERROR(SUMPRODUCT(('Race Data'!B$2:B$50=B$2)*('Race Data'!F$2:F$50)),0)</f>
        <v>0</v>
      </c>
      <c r="E8" s="27">
        <f>SUM(E18:E29)</f>
        <v>0</v>
      </c>
      <c r="F8" s="11">
        <f t="shared" si="0"/>
        <v>10</v>
      </c>
    </row>
    <row r="9" spans="1:28" x14ac:dyDescent="0.25">
      <c r="A9" s="8" t="s">
        <v>302</v>
      </c>
      <c r="B9" s="8">
        <v>10</v>
      </c>
      <c r="C9" s="10">
        <v>0</v>
      </c>
      <c r="D9" s="8">
        <f>IFERROR(SUMPRODUCT(('Race Data'!B$2:B$50=B$2)*('Race Data'!G$2:G$50)),0)</f>
        <v>0</v>
      </c>
      <c r="E9" s="27">
        <f>SUM(F18:F29)</f>
        <v>0</v>
      </c>
      <c r="F9" s="11">
        <f t="shared" si="0"/>
        <v>10</v>
      </c>
    </row>
    <row r="10" spans="1:28" x14ac:dyDescent="0.25">
      <c r="A10" s="8" t="s">
        <v>93</v>
      </c>
      <c r="B10" s="8">
        <v>10</v>
      </c>
      <c r="C10" s="10">
        <v>0</v>
      </c>
      <c r="D10" s="8">
        <f>IFERROR(SUMPRODUCT(('Race Data'!B$2:B$50=B$2)*('Race Data'!H$2:H$50)),0)</f>
        <v>0</v>
      </c>
      <c r="E10" s="27">
        <f>SUM(G18:G29)</f>
        <v>0</v>
      </c>
      <c r="F10" s="11">
        <f t="shared" si="0"/>
        <v>10</v>
      </c>
    </row>
    <row r="11" spans="1:28" x14ac:dyDescent="0.25">
      <c r="A11" s="8" t="s">
        <v>43</v>
      </c>
      <c r="B11" s="8">
        <v>10</v>
      </c>
      <c r="C11" s="10">
        <v>0</v>
      </c>
      <c r="D11" s="8">
        <f>IFERROR(SUMPRODUCT(('Race Data'!B$2:B$50=B$2)*('Race Data'!I$2:I$50)),0)</f>
        <v>0</v>
      </c>
      <c r="E11" s="27">
        <f>SUM(H18:H29)</f>
        <v>0</v>
      </c>
      <c r="F11" s="11">
        <f t="shared" si="0"/>
        <v>10</v>
      </c>
    </row>
    <row r="12" spans="1:28" x14ac:dyDescent="0.25">
      <c r="A12" s="8" t="s">
        <v>289</v>
      </c>
      <c r="B12" s="8">
        <v>10</v>
      </c>
      <c r="C12" s="10">
        <v>0</v>
      </c>
      <c r="D12" s="8">
        <f>IFERROR(SUMPRODUCT(('Race Data'!B$2:B$50=B$2)*('Race Data'!J$2:J$50)),0)</f>
        <v>0</v>
      </c>
      <c r="E12" s="27">
        <f>SUM(I18:I29)</f>
        <v>0</v>
      </c>
      <c r="F12" s="11">
        <f t="shared" si="0"/>
        <v>10</v>
      </c>
    </row>
    <row r="13" spans="1:28" x14ac:dyDescent="0.25">
      <c r="A13" s="8" t="s">
        <v>35</v>
      </c>
      <c r="B13" s="8">
        <v>10</v>
      </c>
      <c r="C13" s="10">
        <v>0</v>
      </c>
      <c r="D13" s="8">
        <f>IFERROR(SUMPRODUCT(('Race Data'!B$2:B$50=B$2)*('Race Data'!K$2:K$50)),0)</f>
        <v>0</v>
      </c>
      <c r="E13" s="27">
        <f>SUM(J18:J29)</f>
        <v>0</v>
      </c>
      <c r="F13" s="11">
        <f t="shared" si="0"/>
        <v>10</v>
      </c>
    </row>
    <row r="14" spans="1:28" x14ac:dyDescent="0.25">
      <c r="A14" s="8" t="s">
        <v>224</v>
      </c>
      <c r="B14" s="8">
        <v>10</v>
      </c>
      <c r="C14" s="10">
        <v>0</v>
      </c>
      <c r="D14" s="8">
        <f>IFERROR(SUMPRODUCT(('Race Data'!B$2:B$50=B$2)*('Race Data'!L$2:L$50)),0)</f>
        <v>0</v>
      </c>
      <c r="E14" s="27">
        <f>SUM(K18:K29)</f>
        <v>0</v>
      </c>
      <c r="F14" s="11">
        <f t="shared" si="0"/>
        <v>10</v>
      </c>
    </row>
    <row r="15" spans="1:28" ht="8.1" customHeight="1" x14ac:dyDescent="0.25"/>
    <row r="16" spans="1:28" ht="15.75" customHeight="1" x14ac:dyDescent="0.25">
      <c r="A16" s="49" t="s">
        <v>643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ht="45" x14ac:dyDescent="0.25">
      <c r="A17" s="28" t="s">
        <v>644</v>
      </c>
      <c r="B17" s="28" t="s">
        <v>645</v>
      </c>
      <c r="C17" s="9" t="s">
        <v>266</v>
      </c>
      <c r="D17" s="9" t="s">
        <v>104</v>
      </c>
      <c r="E17" s="9" t="s">
        <v>61</v>
      </c>
      <c r="F17" s="9" t="s">
        <v>302</v>
      </c>
      <c r="G17" s="9" t="s">
        <v>93</v>
      </c>
      <c r="H17" s="9" t="s">
        <v>43</v>
      </c>
      <c r="I17" s="9" t="s">
        <v>289</v>
      </c>
      <c r="J17" s="9" t="s">
        <v>35</v>
      </c>
      <c r="K17" s="9" t="s">
        <v>224</v>
      </c>
      <c r="L17" s="35" t="s">
        <v>242</v>
      </c>
      <c r="M17" s="35" t="s">
        <v>162</v>
      </c>
      <c r="N17" s="35" t="s">
        <v>481</v>
      </c>
      <c r="O17" s="35" t="s">
        <v>76</v>
      </c>
      <c r="P17" s="35" t="s">
        <v>348</v>
      </c>
      <c r="Q17" s="35" t="s">
        <v>23</v>
      </c>
      <c r="R17" s="35" t="s">
        <v>70</v>
      </c>
      <c r="S17" s="35" t="s">
        <v>82</v>
      </c>
      <c r="T17" s="35" t="s">
        <v>114</v>
      </c>
      <c r="U17" s="35" t="s">
        <v>125</v>
      </c>
      <c r="V17" s="35" t="s">
        <v>156</v>
      </c>
      <c r="W17" s="35" t="s">
        <v>205</v>
      </c>
      <c r="X17" s="35" t="s">
        <v>248</v>
      </c>
      <c r="Y17" s="35" t="s">
        <v>254</v>
      </c>
      <c r="Z17" s="35" t="s">
        <v>260</v>
      </c>
      <c r="AA17" s="35" t="s">
        <v>272</v>
      </c>
      <c r="AB17" s="35" t="s">
        <v>283</v>
      </c>
    </row>
    <row r="18" spans="1:28" x14ac:dyDescent="0.25">
      <c r="A18" s="29" t="s">
        <v>646</v>
      </c>
      <c r="B18" s="30"/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0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</row>
    <row r="19" spans="1:28" x14ac:dyDescent="0.25">
      <c r="A19" s="29" t="s">
        <v>647</v>
      </c>
      <c r="B19" s="30"/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</row>
    <row r="20" spans="1:28" x14ac:dyDescent="0.25">
      <c r="A20" s="29" t="s">
        <v>648</v>
      </c>
      <c r="B20" s="30"/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</row>
    <row r="21" spans="1:28" x14ac:dyDescent="0.25">
      <c r="A21" s="29" t="s">
        <v>649</v>
      </c>
      <c r="B21" s="30"/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</row>
    <row r="22" spans="1:28" x14ac:dyDescent="0.25">
      <c r="A22" s="29" t="s">
        <v>650</v>
      </c>
      <c r="B22" s="30"/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</row>
    <row r="23" spans="1:28" x14ac:dyDescent="0.25">
      <c r="A23" s="29" t="s">
        <v>651</v>
      </c>
      <c r="B23" s="30"/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</row>
    <row r="24" spans="1:28" x14ac:dyDescent="0.25">
      <c r="A24" s="29" t="s">
        <v>652</v>
      </c>
      <c r="B24" s="30"/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</row>
    <row r="25" spans="1:28" x14ac:dyDescent="0.25">
      <c r="A25" s="29" t="s">
        <v>653</v>
      </c>
      <c r="B25" s="30"/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</row>
    <row r="26" spans="1:28" x14ac:dyDescent="0.25">
      <c r="A26" s="29" t="s">
        <v>654</v>
      </c>
      <c r="B26" s="30"/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</row>
    <row r="27" spans="1:28" x14ac:dyDescent="0.25">
      <c r="A27" s="29" t="s">
        <v>655</v>
      </c>
      <c r="B27" s="30"/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</row>
    <row r="28" spans="1:28" x14ac:dyDescent="0.25">
      <c r="A28" s="29" t="s">
        <v>656</v>
      </c>
      <c r="B28" s="30"/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</row>
    <row r="29" spans="1:28" x14ac:dyDescent="0.25">
      <c r="A29" s="29" t="s">
        <v>657</v>
      </c>
      <c r="B29" s="30"/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</row>
    <row r="30" spans="1:28" ht="8.1" customHeight="1" x14ac:dyDescent="0.25"/>
    <row r="31" spans="1:28" x14ac:dyDescent="0.25">
      <c r="A31" s="12" t="s">
        <v>537</v>
      </c>
      <c r="B31" s="12" t="s">
        <v>1</v>
      </c>
      <c r="C31" s="12" t="s">
        <v>18</v>
      </c>
      <c r="D31" s="12" t="s">
        <v>538</v>
      </c>
      <c r="E31" s="12" t="s">
        <v>539</v>
      </c>
    </row>
    <row r="32" spans="1:28" ht="15.95" customHeight="1" x14ac:dyDescent="0.25">
      <c r="A32" s="13" t="s">
        <v>43</v>
      </c>
      <c r="B32" s="14" t="s">
        <v>43</v>
      </c>
      <c r="C32" s="5" t="s">
        <v>485</v>
      </c>
      <c r="D32" s="6" t="s">
        <v>293</v>
      </c>
      <c r="E32" s="15">
        <f>F11</f>
        <v>10</v>
      </c>
    </row>
    <row r="33" spans="1:5" ht="15.95" customHeight="1" x14ac:dyDescent="0.25">
      <c r="A33" s="16" t="s">
        <v>116</v>
      </c>
      <c r="B33" s="17" t="s">
        <v>117</v>
      </c>
      <c r="C33" s="1" t="s">
        <v>26</v>
      </c>
      <c r="D33" s="2" t="s">
        <v>119</v>
      </c>
      <c r="E33" s="18">
        <f>(F11 * 0.03)</f>
        <v>0.3</v>
      </c>
    </row>
    <row r="34" spans="1:5" ht="15.95" customHeight="1" x14ac:dyDescent="0.25">
      <c r="A34" s="13" t="s">
        <v>266</v>
      </c>
      <c r="B34" s="14" t="s">
        <v>266</v>
      </c>
      <c r="C34" s="5" t="s">
        <v>485</v>
      </c>
      <c r="D34" s="6" t="s">
        <v>293</v>
      </c>
      <c r="E34" s="15">
        <f>F6</f>
        <v>10</v>
      </c>
    </row>
    <row r="35" spans="1:5" ht="15.95" customHeight="1" x14ac:dyDescent="0.25">
      <c r="A35" s="13" t="s">
        <v>93</v>
      </c>
      <c r="B35" s="14" t="s">
        <v>93</v>
      </c>
      <c r="C35" s="5" t="s">
        <v>485</v>
      </c>
      <c r="D35" s="6" t="s">
        <v>293</v>
      </c>
      <c r="E35" s="15">
        <f>F10</f>
        <v>10</v>
      </c>
    </row>
    <row r="36" spans="1:5" ht="15.95" customHeight="1" x14ac:dyDescent="0.25">
      <c r="A36" s="19" t="s">
        <v>404</v>
      </c>
      <c r="B36" s="20" t="s">
        <v>405</v>
      </c>
      <c r="C36" s="3" t="s">
        <v>294</v>
      </c>
      <c r="D36" s="4" t="s">
        <v>330</v>
      </c>
      <c r="E36" s="21">
        <f>(F10 * 0.01)</f>
        <v>0.1</v>
      </c>
    </row>
    <row r="37" spans="1:5" ht="15.95" customHeight="1" x14ac:dyDescent="0.25">
      <c r="A37" s="16" t="s">
        <v>193</v>
      </c>
      <c r="B37" s="17" t="s">
        <v>194</v>
      </c>
      <c r="C37" s="1" t="s">
        <v>26</v>
      </c>
      <c r="D37" s="2" t="s">
        <v>109</v>
      </c>
      <c r="E37" s="18">
        <f>100</f>
        <v>100</v>
      </c>
    </row>
    <row r="38" spans="1:5" ht="15.95" customHeight="1" x14ac:dyDescent="0.25">
      <c r="A38" s="19" t="s">
        <v>254</v>
      </c>
      <c r="B38" s="20" t="s">
        <v>470</v>
      </c>
      <c r="C38" s="3" t="s">
        <v>294</v>
      </c>
      <c r="D38" s="4" t="s">
        <v>293</v>
      </c>
      <c r="E38" s="21">
        <f>SUM(Y18:Y29)</f>
        <v>0</v>
      </c>
    </row>
    <row r="39" spans="1:5" ht="15.95" customHeight="1" x14ac:dyDescent="0.25">
      <c r="A39" s="19" t="s">
        <v>540</v>
      </c>
      <c r="B39" s="20" t="s">
        <v>541</v>
      </c>
      <c r="C39" s="3" t="s">
        <v>294</v>
      </c>
      <c r="D39" s="4"/>
      <c r="E39" s="21" t="s">
        <v>542</v>
      </c>
    </row>
    <row r="40" spans="1:5" ht="15.95" customHeight="1" x14ac:dyDescent="0.25">
      <c r="A40" s="16" t="s">
        <v>216</v>
      </c>
      <c r="B40" s="17" t="s">
        <v>217</v>
      </c>
      <c r="C40" s="1" t="s">
        <v>26</v>
      </c>
      <c r="D40" s="2" t="s">
        <v>219</v>
      </c>
      <c r="E40" s="18">
        <f>-5</f>
        <v>-5</v>
      </c>
    </row>
    <row r="41" spans="1:5" ht="15.95" customHeight="1" x14ac:dyDescent="0.25">
      <c r="A41" s="19" t="s">
        <v>272</v>
      </c>
      <c r="B41" s="20" t="s">
        <v>474</v>
      </c>
      <c r="C41" s="3" t="s">
        <v>294</v>
      </c>
      <c r="D41" s="4" t="s">
        <v>293</v>
      </c>
      <c r="E41" s="21">
        <f>SUM(AA18:AA29)</f>
        <v>0</v>
      </c>
    </row>
    <row r="42" spans="1:5" ht="15.95" customHeight="1" x14ac:dyDescent="0.25">
      <c r="A42" s="16" t="s">
        <v>268</v>
      </c>
      <c r="B42" s="17" t="s">
        <v>269</v>
      </c>
      <c r="C42" s="1" t="s">
        <v>26</v>
      </c>
      <c r="D42" s="2" t="s">
        <v>271</v>
      </c>
      <c r="E42" s="18">
        <f>1 - E41</f>
        <v>1</v>
      </c>
    </row>
    <row r="43" spans="1:5" ht="15.95" customHeight="1" x14ac:dyDescent="0.25">
      <c r="A43" s="13" t="s">
        <v>35</v>
      </c>
      <c r="B43" s="14" t="s">
        <v>35</v>
      </c>
      <c r="C43" s="5" t="s">
        <v>485</v>
      </c>
      <c r="D43" s="6" t="s">
        <v>293</v>
      </c>
      <c r="E43" s="15">
        <f>F13</f>
        <v>10</v>
      </c>
    </row>
    <row r="44" spans="1:5" ht="15.95" customHeight="1" x14ac:dyDescent="0.25">
      <c r="A44" s="16" t="s">
        <v>47</v>
      </c>
      <c r="B44" s="17" t="s">
        <v>48</v>
      </c>
      <c r="C44" s="1" t="s">
        <v>26</v>
      </c>
      <c r="D44" s="2" t="s">
        <v>50</v>
      </c>
      <c r="E44" s="18">
        <f>5000 + 100 * F13</f>
        <v>6000</v>
      </c>
    </row>
    <row r="45" spans="1:5" ht="15.95" customHeight="1" x14ac:dyDescent="0.25">
      <c r="A45" s="16" t="s">
        <v>180</v>
      </c>
      <c r="B45" s="17" t="s">
        <v>181</v>
      </c>
      <c r="C45" s="1" t="s">
        <v>26</v>
      </c>
      <c r="D45" s="2" t="s">
        <v>150</v>
      </c>
      <c r="E45" s="18">
        <f>(F13 * 0.02)</f>
        <v>0.2</v>
      </c>
    </row>
    <row r="46" spans="1:5" ht="15.95" customHeight="1" x14ac:dyDescent="0.25">
      <c r="A46" s="16" t="s">
        <v>36</v>
      </c>
      <c r="B46" s="17" t="s">
        <v>87</v>
      </c>
      <c r="C46" s="1" t="s">
        <v>26</v>
      </c>
      <c r="D46" s="2" t="s">
        <v>177</v>
      </c>
      <c r="E46" s="18">
        <f>(E44 * (1 + E45))</f>
        <v>7200</v>
      </c>
    </row>
    <row r="47" spans="1:5" ht="15.95" customHeight="1" x14ac:dyDescent="0.25">
      <c r="A47" s="16" t="s">
        <v>196</v>
      </c>
      <c r="B47" s="17" t="s">
        <v>197</v>
      </c>
      <c r="C47" s="1" t="s">
        <v>26</v>
      </c>
      <c r="D47" s="2" t="s">
        <v>199</v>
      </c>
      <c r="E47" s="18">
        <f>E46 / 2</f>
        <v>3600</v>
      </c>
    </row>
    <row r="48" spans="1:5" ht="15.95" customHeight="1" x14ac:dyDescent="0.25">
      <c r="A48" s="16" t="s">
        <v>169</v>
      </c>
      <c r="B48" s="17" t="s">
        <v>170</v>
      </c>
      <c r="C48" s="1" t="s">
        <v>26</v>
      </c>
      <c r="D48" s="2" t="s">
        <v>172</v>
      </c>
      <c r="E48" s="18">
        <f>E46 + E47</f>
        <v>10800</v>
      </c>
    </row>
    <row r="49" spans="1:5" ht="15.95" customHeight="1" x14ac:dyDescent="0.25">
      <c r="A49" s="19" t="s">
        <v>543</v>
      </c>
      <c r="B49" s="20" t="s">
        <v>544</v>
      </c>
      <c r="C49" s="3" t="s">
        <v>294</v>
      </c>
      <c r="D49" s="4"/>
      <c r="E49" s="21" t="s">
        <v>542</v>
      </c>
    </row>
    <row r="50" spans="1:5" ht="15.95" customHeight="1" x14ac:dyDescent="0.25">
      <c r="A50" s="13" t="s">
        <v>61</v>
      </c>
      <c r="B50" s="14" t="s">
        <v>61</v>
      </c>
      <c r="C50" s="5" t="s">
        <v>485</v>
      </c>
      <c r="D50" s="6" t="s">
        <v>293</v>
      </c>
      <c r="E50" s="15">
        <f>F8</f>
        <v>10</v>
      </c>
    </row>
    <row r="51" spans="1:5" ht="15.95" customHeight="1" x14ac:dyDescent="0.25">
      <c r="A51" s="16" t="s">
        <v>57</v>
      </c>
      <c r="B51" s="17" t="s">
        <v>58</v>
      </c>
      <c r="C51" s="1" t="s">
        <v>26</v>
      </c>
      <c r="D51" s="2" t="s">
        <v>60</v>
      </c>
      <c r="E51" s="18">
        <f>(1 + F8 * 0.005)</f>
        <v>1.05</v>
      </c>
    </row>
    <row r="52" spans="1:5" ht="15.95" customHeight="1" x14ac:dyDescent="0.25">
      <c r="A52" s="19" t="s">
        <v>348</v>
      </c>
      <c r="B52" s="20" t="s">
        <v>349</v>
      </c>
      <c r="C52" s="3" t="s">
        <v>294</v>
      </c>
      <c r="D52" s="4" t="s">
        <v>351</v>
      </c>
      <c r="E52" s="21">
        <f>1.25+SUM(P18:P29)</f>
        <v>1.25</v>
      </c>
    </row>
    <row r="53" spans="1:5" ht="15.95" customHeight="1" x14ac:dyDescent="0.25">
      <c r="A53" s="16" t="s">
        <v>235</v>
      </c>
      <c r="B53" s="17" t="s">
        <v>236</v>
      </c>
      <c r="C53" s="1" t="s">
        <v>26</v>
      </c>
      <c r="D53" s="2" t="s">
        <v>109</v>
      </c>
      <c r="E53" s="18">
        <f>100</f>
        <v>100</v>
      </c>
    </row>
    <row r="54" spans="1:5" ht="15.95" customHeight="1" x14ac:dyDescent="0.25">
      <c r="A54" s="16" t="s">
        <v>147</v>
      </c>
      <c r="B54" s="17" t="s">
        <v>148</v>
      </c>
      <c r="C54" s="1" t="s">
        <v>26</v>
      </c>
      <c r="D54" s="2" t="s">
        <v>150</v>
      </c>
      <c r="E54" s="18">
        <f>(F13 * 0.02)</f>
        <v>0.2</v>
      </c>
    </row>
    <row r="55" spans="1:5" ht="15.95" customHeight="1" x14ac:dyDescent="0.25">
      <c r="A55" s="16" t="s">
        <v>31</v>
      </c>
      <c r="B55" s="17" t="s">
        <v>32</v>
      </c>
      <c r="C55" s="1" t="s">
        <v>26</v>
      </c>
      <c r="D55" s="2" t="s">
        <v>34</v>
      </c>
      <c r="E55" s="18">
        <f>E46 / 150</f>
        <v>48</v>
      </c>
    </row>
    <row r="56" spans="1:5" ht="15.95" customHeight="1" x14ac:dyDescent="0.25">
      <c r="A56" s="16" t="s">
        <v>136</v>
      </c>
      <c r="B56" s="17" t="s">
        <v>139</v>
      </c>
      <c r="C56" s="1" t="s">
        <v>26</v>
      </c>
      <c r="D56" s="2" t="s">
        <v>143</v>
      </c>
      <c r="E56" s="18">
        <f>(E55 * (1 + E54))</f>
        <v>57.599999999999994</v>
      </c>
    </row>
    <row r="57" spans="1:5" ht="15.95" customHeight="1" x14ac:dyDescent="0.25">
      <c r="A57" s="16" t="s">
        <v>136</v>
      </c>
      <c r="B57" s="17" t="s">
        <v>137</v>
      </c>
      <c r="C57" s="1" t="s">
        <v>26</v>
      </c>
      <c r="D57" s="2" t="s">
        <v>139</v>
      </c>
      <c r="E57" s="18">
        <f>E56</f>
        <v>57.599999999999994</v>
      </c>
    </row>
    <row r="58" spans="1:5" ht="15.95" customHeight="1" x14ac:dyDescent="0.25">
      <c r="A58" s="19" t="s">
        <v>545</v>
      </c>
      <c r="B58" s="20" t="s">
        <v>546</v>
      </c>
      <c r="C58" s="3" t="s">
        <v>294</v>
      </c>
      <c r="D58" s="4"/>
      <c r="E58" s="21" t="s">
        <v>542</v>
      </c>
    </row>
    <row r="59" spans="1:5" ht="15.95" customHeight="1" x14ac:dyDescent="0.25">
      <c r="A59" s="19" t="s">
        <v>547</v>
      </c>
      <c r="B59" s="20" t="s">
        <v>548</v>
      </c>
      <c r="C59" s="3" t="s">
        <v>294</v>
      </c>
      <c r="D59" s="4"/>
      <c r="E59" s="21" t="s">
        <v>542</v>
      </c>
    </row>
    <row r="60" spans="1:5" ht="15.95" customHeight="1" x14ac:dyDescent="0.25">
      <c r="A60" s="19" t="s">
        <v>549</v>
      </c>
      <c r="B60" s="20" t="s">
        <v>550</v>
      </c>
      <c r="C60" s="3" t="s">
        <v>294</v>
      </c>
      <c r="D60" s="4"/>
      <c r="E60" s="21" t="s">
        <v>542</v>
      </c>
    </row>
    <row r="61" spans="1:5" ht="15.95" customHeight="1" x14ac:dyDescent="0.25">
      <c r="A61" s="19" t="s">
        <v>551</v>
      </c>
      <c r="B61" s="20" t="s">
        <v>552</v>
      </c>
      <c r="C61" s="3" t="s">
        <v>294</v>
      </c>
      <c r="D61" s="4"/>
      <c r="E61" s="21" t="s">
        <v>542</v>
      </c>
    </row>
    <row r="62" spans="1:5" ht="15.95" customHeight="1" x14ac:dyDescent="0.25">
      <c r="A62" s="16" t="s">
        <v>183</v>
      </c>
      <c r="B62" s="17" t="s">
        <v>184</v>
      </c>
      <c r="C62" s="1" t="s">
        <v>26</v>
      </c>
      <c r="D62" s="2" t="s">
        <v>167</v>
      </c>
      <c r="E62" s="18">
        <f>(F11 * 0.02)</f>
        <v>0.2</v>
      </c>
    </row>
    <row r="63" spans="1:5" ht="15.95" customHeight="1" x14ac:dyDescent="0.25">
      <c r="A63" s="16" t="s">
        <v>52</v>
      </c>
      <c r="B63" s="17" t="s">
        <v>53</v>
      </c>
      <c r="C63" s="1" t="s">
        <v>26</v>
      </c>
      <c r="D63" s="2" t="s">
        <v>55</v>
      </c>
      <c r="E63" s="18">
        <f>5000 + 100 * F11</f>
        <v>6000</v>
      </c>
    </row>
    <row r="64" spans="1:5" ht="15.95" customHeight="1" x14ac:dyDescent="0.25">
      <c r="A64" s="19" t="s">
        <v>44</v>
      </c>
      <c r="B64" s="20" t="s">
        <v>446</v>
      </c>
      <c r="C64" s="3" t="s">
        <v>294</v>
      </c>
      <c r="D64" s="4" t="s">
        <v>448</v>
      </c>
      <c r="E64" s="21">
        <f>(E63 * (1 + E62))</f>
        <v>7200</v>
      </c>
    </row>
    <row r="65" spans="1:5" ht="15.95" customHeight="1" x14ac:dyDescent="0.25">
      <c r="A65" s="16" t="s">
        <v>39</v>
      </c>
      <c r="B65" s="17" t="s">
        <v>40</v>
      </c>
      <c r="C65" s="1" t="s">
        <v>26</v>
      </c>
      <c r="D65" s="2" t="s">
        <v>42</v>
      </c>
      <c r="E65" s="18">
        <f>E64 / 500</f>
        <v>14.4</v>
      </c>
    </row>
    <row r="66" spans="1:5" ht="15.95" customHeight="1" x14ac:dyDescent="0.25">
      <c r="A66" s="19" t="s">
        <v>553</v>
      </c>
      <c r="B66" s="20" t="s">
        <v>554</v>
      </c>
      <c r="C66" s="3" t="s">
        <v>294</v>
      </c>
      <c r="D66" s="4"/>
      <c r="E66" s="21" t="s">
        <v>542</v>
      </c>
    </row>
    <row r="67" spans="1:5" ht="15.95" customHeight="1" x14ac:dyDescent="0.25">
      <c r="A67" s="19" t="s">
        <v>555</v>
      </c>
      <c r="B67" s="20" t="s">
        <v>556</v>
      </c>
      <c r="C67" s="3" t="s">
        <v>294</v>
      </c>
      <c r="D67" s="4"/>
      <c r="E67" s="21" t="s">
        <v>542</v>
      </c>
    </row>
    <row r="68" spans="1:5" ht="15.95" customHeight="1" x14ac:dyDescent="0.25">
      <c r="A68" s="19" t="s">
        <v>327</v>
      </c>
      <c r="B68" s="20" t="s">
        <v>328</v>
      </c>
      <c r="C68" s="3" t="s">
        <v>294</v>
      </c>
      <c r="D68" s="4" t="s">
        <v>330</v>
      </c>
      <c r="E68" s="21">
        <f>(F10 * 0.01)</f>
        <v>0.1</v>
      </c>
    </row>
    <row r="69" spans="1:5" ht="15.95" customHeight="1" x14ac:dyDescent="0.25">
      <c r="A69" s="19" t="s">
        <v>308</v>
      </c>
      <c r="B69" s="20" t="s">
        <v>309</v>
      </c>
      <c r="C69" s="3" t="s">
        <v>294</v>
      </c>
      <c r="D69" s="4" t="s">
        <v>307</v>
      </c>
      <c r="E69" s="21">
        <f>0.1</f>
        <v>0.1</v>
      </c>
    </row>
    <row r="70" spans="1:5" ht="15.95" customHeight="1" x14ac:dyDescent="0.25">
      <c r="A70" s="19" t="s">
        <v>557</v>
      </c>
      <c r="B70" s="20" t="s">
        <v>558</v>
      </c>
      <c r="C70" s="3" t="s">
        <v>294</v>
      </c>
      <c r="D70" s="4"/>
      <c r="E70" s="21" t="s">
        <v>542</v>
      </c>
    </row>
    <row r="71" spans="1:5" ht="15.95" customHeight="1" x14ac:dyDescent="0.25">
      <c r="A71" s="13" t="s">
        <v>224</v>
      </c>
      <c r="B71" s="14" t="s">
        <v>224</v>
      </c>
      <c r="C71" s="5" t="s">
        <v>485</v>
      </c>
      <c r="D71" s="6" t="s">
        <v>293</v>
      </c>
      <c r="E71" s="15">
        <f>F14</f>
        <v>10</v>
      </c>
    </row>
    <row r="72" spans="1:5" ht="15.95" customHeight="1" x14ac:dyDescent="0.25">
      <c r="A72" s="16" t="s">
        <v>220</v>
      </c>
      <c r="B72" s="17" t="s">
        <v>221</v>
      </c>
      <c r="C72" s="1" t="s">
        <v>26</v>
      </c>
      <c r="D72" s="2" t="s">
        <v>223</v>
      </c>
      <c r="E72" s="18">
        <f>(F14 * 0.005)</f>
        <v>0.05</v>
      </c>
    </row>
    <row r="73" spans="1:5" ht="15.95" customHeight="1" x14ac:dyDescent="0.25">
      <c r="A73" s="19" t="s">
        <v>242</v>
      </c>
      <c r="B73" s="20" t="s">
        <v>466</v>
      </c>
      <c r="C73" s="3" t="s">
        <v>294</v>
      </c>
      <c r="D73" s="4" t="s">
        <v>293</v>
      </c>
      <c r="E73" s="21">
        <f>SUM(L18:L29)</f>
        <v>0</v>
      </c>
    </row>
    <row r="74" spans="1:5" ht="15.95" customHeight="1" x14ac:dyDescent="0.25">
      <c r="A74" s="16" t="s">
        <v>238</v>
      </c>
      <c r="B74" s="17" t="s">
        <v>239</v>
      </c>
      <c r="C74" s="1" t="s">
        <v>26</v>
      </c>
      <c r="D74" s="2" t="s">
        <v>241</v>
      </c>
      <c r="E74" s="18">
        <f>1 - (0.003 * E73) / (1 + 0.003 * E73)</f>
        <v>1</v>
      </c>
    </row>
    <row r="75" spans="1:5" ht="15.95" customHeight="1" x14ac:dyDescent="0.25">
      <c r="A75" s="19" t="s">
        <v>559</v>
      </c>
      <c r="B75" s="20" t="s">
        <v>560</v>
      </c>
      <c r="C75" s="3" t="s">
        <v>294</v>
      </c>
      <c r="D75" s="4"/>
      <c r="E75" s="21" t="s">
        <v>542</v>
      </c>
    </row>
    <row r="76" spans="1:5" ht="15.95" customHeight="1" x14ac:dyDescent="0.25">
      <c r="A76" s="19" t="s">
        <v>561</v>
      </c>
      <c r="B76" s="20" t="s">
        <v>562</v>
      </c>
      <c r="C76" s="3" t="s">
        <v>294</v>
      </c>
      <c r="D76" s="4"/>
      <c r="E76" s="21" t="s">
        <v>542</v>
      </c>
    </row>
    <row r="77" spans="1:5" ht="15.95" customHeight="1" x14ac:dyDescent="0.25">
      <c r="A77" s="19" t="s">
        <v>563</v>
      </c>
      <c r="B77" s="20" t="s">
        <v>564</v>
      </c>
      <c r="C77" s="3" t="s">
        <v>294</v>
      </c>
      <c r="D77" s="4"/>
      <c r="E77" s="21" t="s">
        <v>542</v>
      </c>
    </row>
    <row r="78" spans="1:5" ht="15.95" customHeight="1" x14ac:dyDescent="0.25">
      <c r="A78" s="19" t="s">
        <v>205</v>
      </c>
      <c r="B78" s="20" t="s">
        <v>454</v>
      </c>
      <c r="C78" s="3" t="s">
        <v>294</v>
      </c>
      <c r="D78" s="4" t="s">
        <v>293</v>
      </c>
      <c r="E78" s="21">
        <f>SUM(W18:W29)</f>
        <v>0</v>
      </c>
    </row>
    <row r="79" spans="1:5" ht="15.95" customHeight="1" x14ac:dyDescent="0.25">
      <c r="A79" s="19" t="s">
        <v>565</v>
      </c>
      <c r="B79" s="20" t="s">
        <v>566</v>
      </c>
      <c r="C79" s="3" t="s">
        <v>294</v>
      </c>
      <c r="D79" s="4"/>
      <c r="E79" s="21" t="s">
        <v>542</v>
      </c>
    </row>
    <row r="80" spans="1:5" ht="15.95" customHeight="1" x14ac:dyDescent="0.25">
      <c r="A80" s="19" t="s">
        <v>451</v>
      </c>
      <c r="B80" s="20" t="s">
        <v>452</v>
      </c>
      <c r="C80" s="3" t="s">
        <v>294</v>
      </c>
      <c r="D80" s="4" t="s">
        <v>453</v>
      </c>
      <c r="E80" s="21">
        <f>20.1</f>
        <v>20.100000000000001</v>
      </c>
    </row>
    <row r="81" spans="1:5" ht="15.95" customHeight="1" x14ac:dyDescent="0.25">
      <c r="A81" s="19" t="s">
        <v>417</v>
      </c>
      <c r="B81" s="20" t="s">
        <v>418</v>
      </c>
      <c r="C81" s="3" t="s">
        <v>294</v>
      </c>
      <c r="D81" s="4" t="s">
        <v>346</v>
      </c>
      <c r="E81" s="21">
        <f>(1 + F11 * 0.005)</f>
        <v>1.05</v>
      </c>
    </row>
    <row r="82" spans="1:5" ht="15.95" customHeight="1" x14ac:dyDescent="0.25">
      <c r="A82" s="19" t="s">
        <v>567</v>
      </c>
      <c r="B82" s="20" t="s">
        <v>568</v>
      </c>
      <c r="C82" s="3" t="s">
        <v>294</v>
      </c>
      <c r="D82" s="4"/>
      <c r="E82" s="21" t="s">
        <v>542</v>
      </c>
    </row>
    <row r="83" spans="1:5" ht="15.95" customHeight="1" x14ac:dyDescent="0.25">
      <c r="A83" s="19" t="s">
        <v>388</v>
      </c>
      <c r="B83" s="20" t="s">
        <v>389</v>
      </c>
      <c r="C83" s="3" t="s">
        <v>294</v>
      </c>
      <c r="D83" s="4" t="s">
        <v>98</v>
      </c>
      <c r="E83" s="21">
        <f>(F10 * 0.005)</f>
        <v>0.05</v>
      </c>
    </row>
    <row r="84" spans="1:5" ht="15.95" customHeight="1" x14ac:dyDescent="0.25">
      <c r="A84" s="19" t="s">
        <v>304</v>
      </c>
      <c r="B84" s="20" t="s">
        <v>305</v>
      </c>
      <c r="C84" s="3" t="s">
        <v>294</v>
      </c>
      <c r="D84" s="4" t="s">
        <v>307</v>
      </c>
      <c r="E84" s="21">
        <f>0.1</f>
        <v>0.1</v>
      </c>
    </row>
    <row r="85" spans="1:5" ht="15.95" customHeight="1" x14ac:dyDescent="0.25">
      <c r="A85" s="19" t="s">
        <v>395</v>
      </c>
      <c r="B85" s="20" t="s">
        <v>407</v>
      </c>
      <c r="C85" s="3" t="s">
        <v>294</v>
      </c>
      <c r="D85" s="4" t="s">
        <v>409</v>
      </c>
      <c r="E85" s="21">
        <f>(E84 * (1 + E83))</f>
        <v>0.10500000000000001</v>
      </c>
    </row>
    <row r="86" spans="1:5" ht="15.95" customHeight="1" x14ac:dyDescent="0.25">
      <c r="A86" s="19" t="s">
        <v>443</v>
      </c>
      <c r="B86" s="20" t="s">
        <v>444</v>
      </c>
      <c r="C86" s="3" t="s">
        <v>294</v>
      </c>
      <c r="D86" s="4" t="s">
        <v>189</v>
      </c>
      <c r="E86" s="21">
        <f>1000</f>
        <v>1000</v>
      </c>
    </row>
    <row r="87" spans="1:5" ht="15.95" customHeight="1" x14ac:dyDescent="0.25">
      <c r="A87" s="16" t="s">
        <v>164</v>
      </c>
      <c r="B87" s="17" t="s">
        <v>165</v>
      </c>
      <c r="C87" s="1" t="s">
        <v>26</v>
      </c>
      <c r="D87" s="2" t="s">
        <v>167</v>
      </c>
      <c r="E87" s="18">
        <f>(F11 * 0.02)</f>
        <v>0.2</v>
      </c>
    </row>
    <row r="88" spans="1:5" ht="15.95" customHeight="1" x14ac:dyDescent="0.25">
      <c r="A88" s="19" t="s">
        <v>569</v>
      </c>
      <c r="B88" s="20" t="s">
        <v>570</v>
      </c>
      <c r="C88" s="3" t="s">
        <v>294</v>
      </c>
      <c r="D88" s="4"/>
      <c r="E88" s="21" t="s">
        <v>542</v>
      </c>
    </row>
    <row r="89" spans="1:5" ht="15.95" customHeight="1" x14ac:dyDescent="0.25">
      <c r="A89" s="13" t="s">
        <v>104</v>
      </c>
      <c r="B89" s="14" t="s">
        <v>104</v>
      </c>
      <c r="C89" s="5" t="s">
        <v>485</v>
      </c>
      <c r="D89" s="6" t="s">
        <v>293</v>
      </c>
      <c r="E89" s="15">
        <f>F7</f>
        <v>10</v>
      </c>
    </row>
    <row r="90" spans="1:5" ht="15.95" customHeight="1" x14ac:dyDescent="0.25">
      <c r="A90" s="16" t="s">
        <v>250</v>
      </c>
      <c r="B90" s="17" t="s">
        <v>251</v>
      </c>
      <c r="C90" s="1" t="s">
        <v>26</v>
      </c>
      <c r="D90" s="2" t="s">
        <v>253</v>
      </c>
      <c r="E90" s="18">
        <f>1 - E38</f>
        <v>1</v>
      </c>
    </row>
    <row r="91" spans="1:5" ht="15.95" customHeight="1" x14ac:dyDescent="0.25">
      <c r="A91" s="19" t="s">
        <v>125</v>
      </c>
      <c r="B91" s="20" t="s">
        <v>381</v>
      </c>
      <c r="C91" s="3" t="s">
        <v>294</v>
      </c>
      <c r="D91" s="4" t="s">
        <v>293</v>
      </c>
      <c r="E91" s="21">
        <f>SUM(U18:U29)</f>
        <v>0</v>
      </c>
    </row>
    <row r="92" spans="1:5" ht="15.95" customHeight="1" x14ac:dyDescent="0.25">
      <c r="A92" s="16" t="s">
        <v>121</v>
      </c>
      <c r="B92" s="17" t="s">
        <v>122</v>
      </c>
      <c r="C92" s="1" t="s">
        <v>26</v>
      </c>
      <c r="D92" s="2" t="s">
        <v>124</v>
      </c>
      <c r="E92" s="18">
        <f>1 - E91</f>
        <v>1</v>
      </c>
    </row>
    <row r="93" spans="1:5" ht="15.95" customHeight="1" x14ac:dyDescent="0.25">
      <c r="A93" s="19" t="s">
        <v>571</v>
      </c>
      <c r="B93" s="20" t="s">
        <v>572</v>
      </c>
      <c r="C93" s="3" t="s">
        <v>294</v>
      </c>
      <c r="D93" s="4"/>
      <c r="E93" s="21" t="s">
        <v>542</v>
      </c>
    </row>
    <row r="94" spans="1:5" ht="15.95" customHeight="1" x14ac:dyDescent="0.25">
      <c r="A94" s="19" t="s">
        <v>424</v>
      </c>
      <c r="B94" s="20" t="s">
        <v>425</v>
      </c>
      <c r="C94" s="3" t="s">
        <v>294</v>
      </c>
      <c r="D94" s="4" t="s">
        <v>427</v>
      </c>
      <c r="E94" s="21">
        <f>(E65 * (1 + E87))</f>
        <v>17.28</v>
      </c>
    </row>
    <row r="95" spans="1:5" ht="15.95" customHeight="1" x14ac:dyDescent="0.25">
      <c r="A95" s="19" t="s">
        <v>260</v>
      </c>
      <c r="B95" s="20" t="s">
        <v>472</v>
      </c>
      <c r="C95" s="3" t="s">
        <v>294</v>
      </c>
      <c r="D95" s="4" t="s">
        <v>293</v>
      </c>
      <c r="E95" s="21">
        <f>SUM(Z18:Z29)</f>
        <v>0</v>
      </c>
    </row>
    <row r="96" spans="1:5" ht="15.95" customHeight="1" x14ac:dyDescent="0.25">
      <c r="A96" s="16" t="s">
        <v>226</v>
      </c>
      <c r="B96" s="17" t="s">
        <v>227</v>
      </c>
      <c r="C96" s="1" t="s">
        <v>26</v>
      </c>
      <c r="D96" s="2" t="s">
        <v>229</v>
      </c>
      <c r="E96" s="18">
        <f>1 - E72</f>
        <v>0.95</v>
      </c>
    </row>
    <row r="97" spans="1:5" ht="15.95" customHeight="1" x14ac:dyDescent="0.25">
      <c r="A97" s="19" t="s">
        <v>456</v>
      </c>
      <c r="B97" s="20" t="s">
        <v>457</v>
      </c>
      <c r="C97" s="3" t="s">
        <v>294</v>
      </c>
      <c r="D97" s="4" t="s">
        <v>458</v>
      </c>
      <c r="E97" s="21">
        <f>60</f>
        <v>60</v>
      </c>
    </row>
    <row r="98" spans="1:5" ht="15.95" customHeight="1" x14ac:dyDescent="0.25">
      <c r="A98" s="19" t="s">
        <v>573</v>
      </c>
      <c r="B98" s="20" t="s">
        <v>574</v>
      </c>
      <c r="C98" s="3" t="s">
        <v>294</v>
      </c>
      <c r="D98" s="4"/>
      <c r="E98" s="21" t="s">
        <v>542</v>
      </c>
    </row>
    <row r="99" spans="1:5" ht="15.95" customHeight="1" x14ac:dyDescent="0.25">
      <c r="A99" s="16" t="s">
        <v>27</v>
      </c>
      <c r="B99" s="17" t="s">
        <v>28</v>
      </c>
      <c r="C99" s="1" t="s">
        <v>26</v>
      </c>
      <c r="D99" s="2" t="s">
        <v>30</v>
      </c>
      <c r="E99" s="18">
        <f>10</f>
        <v>10</v>
      </c>
    </row>
    <row r="100" spans="1:5" ht="15.95" customHeight="1" x14ac:dyDescent="0.25">
      <c r="A100" s="16" t="s">
        <v>94</v>
      </c>
      <c r="B100" s="17" t="s">
        <v>96</v>
      </c>
      <c r="C100" s="1" t="s">
        <v>26</v>
      </c>
      <c r="D100" s="2" t="s">
        <v>98</v>
      </c>
      <c r="E100" s="18">
        <f>(F10 * 0.005)</f>
        <v>0.05</v>
      </c>
    </row>
    <row r="101" spans="1:5" ht="15.95" customHeight="1" x14ac:dyDescent="0.25">
      <c r="A101" s="16" t="s">
        <v>262</v>
      </c>
      <c r="B101" s="17" t="s">
        <v>263</v>
      </c>
      <c r="C101" s="1" t="s">
        <v>26</v>
      </c>
      <c r="D101" s="2" t="s">
        <v>265</v>
      </c>
      <c r="E101" s="18">
        <f>(1 + F6 * 0.01)</f>
        <v>1.1000000000000001</v>
      </c>
    </row>
    <row r="102" spans="1:5" ht="15.95" customHeight="1" x14ac:dyDescent="0.25">
      <c r="A102" s="19" t="s">
        <v>575</v>
      </c>
      <c r="B102" s="20" t="s">
        <v>576</v>
      </c>
      <c r="C102" s="3" t="s">
        <v>294</v>
      </c>
      <c r="D102" s="4"/>
      <c r="E102" s="21" t="s">
        <v>542</v>
      </c>
    </row>
    <row r="103" spans="1:5" ht="15.95" customHeight="1" x14ac:dyDescent="0.25">
      <c r="A103" s="19" t="s">
        <v>476</v>
      </c>
      <c r="B103" s="20" t="s">
        <v>477</v>
      </c>
      <c r="C103" s="3" t="s">
        <v>294</v>
      </c>
      <c r="D103" s="4" t="s">
        <v>478</v>
      </c>
      <c r="E103" s="21">
        <f>5.5</f>
        <v>5.5</v>
      </c>
    </row>
    <row r="104" spans="1:5" ht="15.95" customHeight="1" x14ac:dyDescent="0.25">
      <c r="A104" s="19" t="s">
        <v>577</v>
      </c>
      <c r="B104" s="20" t="s">
        <v>578</v>
      </c>
      <c r="C104" s="3" t="s">
        <v>294</v>
      </c>
      <c r="D104" s="4"/>
      <c r="E104" s="21" t="s">
        <v>542</v>
      </c>
    </row>
    <row r="105" spans="1:5" ht="15.95" customHeight="1" x14ac:dyDescent="0.25">
      <c r="A105" s="19" t="s">
        <v>579</v>
      </c>
      <c r="B105" s="20" t="s">
        <v>580</v>
      </c>
      <c r="C105" s="3" t="s">
        <v>294</v>
      </c>
      <c r="D105" s="4"/>
      <c r="E105" s="21" t="s">
        <v>542</v>
      </c>
    </row>
    <row r="106" spans="1:5" ht="15.95" customHeight="1" x14ac:dyDescent="0.25">
      <c r="A106" s="19" t="s">
        <v>581</v>
      </c>
      <c r="B106" s="20" t="s">
        <v>582</v>
      </c>
      <c r="C106" s="3" t="s">
        <v>294</v>
      </c>
      <c r="D106" s="4"/>
      <c r="E106" s="21" t="s">
        <v>542</v>
      </c>
    </row>
    <row r="107" spans="1:5" ht="15.95" customHeight="1" x14ac:dyDescent="0.25">
      <c r="A107" s="19" t="s">
        <v>583</v>
      </c>
      <c r="B107" s="20" t="s">
        <v>584</v>
      </c>
      <c r="C107" s="3" t="s">
        <v>294</v>
      </c>
      <c r="D107" s="4"/>
      <c r="E107" s="21" t="s">
        <v>542</v>
      </c>
    </row>
    <row r="108" spans="1:5" ht="15.95" customHeight="1" x14ac:dyDescent="0.25">
      <c r="A108" s="19" t="s">
        <v>585</v>
      </c>
      <c r="B108" s="20" t="s">
        <v>586</v>
      </c>
      <c r="C108" s="3" t="s">
        <v>294</v>
      </c>
      <c r="D108" s="4"/>
      <c r="E108" s="21" t="s">
        <v>542</v>
      </c>
    </row>
    <row r="109" spans="1:5" ht="15.95" customHeight="1" x14ac:dyDescent="0.25">
      <c r="A109" s="19" t="s">
        <v>587</v>
      </c>
      <c r="B109" s="20" t="s">
        <v>588</v>
      </c>
      <c r="C109" s="3" t="s">
        <v>294</v>
      </c>
      <c r="D109" s="4"/>
      <c r="E109" s="21" t="s">
        <v>542</v>
      </c>
    </row>
    <row r="110" spans="1:5" ht="15.95" customHeight="1" x14ac:dyDescent="0.25">
      <c r="A110" s="19" t="s">
        <v>589</v>
      </c>
      <c r="B110" s="20" t="s">
        <v>590</v>
      </c>
      <c r="C110" s="3" t="s">
        <v>294</v>
      </c>
      <c r="D110" s="4"/>
      <c r="E110" s="21" t="s">
        <v>542</v>
      </c>
    </row>
    <row r="111" spans="1:5" ht="15.95" customHeight="1" x14ac:dyDescent="0.25">
      <c r="A111" s="19" t="s">
        <v>591</v>
      </c>
      <c r="B111" s="20" t="s">
        <v>592</v>
      </c>
      <c r="C111" s="3" t="s">
        <v>294</v>
      </c>
      <c r="D111" s="4"/>
      <c r="E111" s="21" t="s">
        <v>542</v>
      </c>
    </row>
    <row r="112" spans="1:5" ht="15.95" customHeight="1" x14ac:dyDescent="0.25">
      <c r="A112" s="16" t="s">
        <v>207</v>
      </c>
      <c r="B112" s="17" t="s">
        <v>208</v>
      </c>
      <c r="C112" s="1" t="s">
        <v>26</v>
      </c>
      <c r="D112" s="2" t="s">
        <v>210</v>
      </c>
      <c r="E112" s="18">
        <f>11</f>
        <v>11</v>
      </c>
    </row>
    <row r="113" spans="1:5" ht="15.95" customHeight="1" x14ac:dyDescent="0.25">
      <c r="A113" s="19" t="s">
        <v>437</v>
      </c>
      <c r="B113" s="20" t="s">
        <v>438</v>
      </c>
      <c r="C113" s="3" t="s">
        <v>294</v>
      </c>
      <c r="D113" s="4" t="s">
        <v>189</v>
      </c>
      <c r="E113" s="21">
        <f>1000</f>
        <v>1000</v>
      </c>
    </row>
    <row r="114" spans="1:5" ht="15.95" customHeight="1" x14ac:dyDescent="0.25">
      <c r="A114" s="19" t="s">
        <v>248</v>
      </c>
      <c r="B114" s="20" t="s">
        <v>468</v>
      </c>
      <c r="C114" s="3" t="s">
        <v>294</v>
      </c>
      <c r="D114" s="4" t="s">
        <v>293</v>
      </c>
      <c r="E114" s="21">
        <f>SUM(X18:X29)</f>
        <v>0</v>
      </c>
    </row>
    <row r="115" spans="1:5" ht="15.95" customHeight="1" x14ac:dyDescent="0.25">
      <c r="A115" s="16" t="s">
        <v>244</v>
      </c>
      <c r="B115" s="17" t="s">
        <v>245</v>
      </c>
      <c r="C115" s="1" t="s">
        <v>26</v>
      </c>
      <c r="D115" s="2" t="s">
        <v>247</v>
      </c>
      <c r="E115" s="18">
        <f>1 - E114</f>
        <v>1</v>
      </c>
    </row>
    <row r="116" spans="1:5" ht="15.95" customHeight="1" x14ac:dyDescent="0.25">
      <c r="A116" s="19" t="s">
        <v>593</v>
      </c>
      <c r="B116" s="20" t="s">
        <v>594</v>
      </c>
      <c r="C116" s="3" t="s">
        <v>294</v>
      </c>
      <c r="D116" s="4"/>
      <c r="E116" s="21" t="s">
        <v>542</v>
      </c>
    </row>
    <row r="117" spans="1:5" ht="15.95" customHeight="1" x14ac:dyDescent="0.25">
      <c r="A117" s="19" t="s">
        <v>595</v>
      </c>
      <c r="B117" s="20" t="s">
        <v>596</v>
      </c>
      <c r="C117" s="3" t="s">
        <v>294</v>
      </c>
      <c r="D117" s="4"/>
      <c r="E117" s="21" t="s">
        <v>542</v>
      </c>
    </row>
    <row r="118" spans="1:5" ht="15.95" customHeight="1" x14ac:dyDescent="0.25">
      <c r="A118" s="16" t="s">
        <v>89</v>
      </c>
      <c r="B118" s="17" t="s">
        <v>90</v>
      </c>
      <c r="C118" s="1" t="s">
        <v>26</v>
      </c>
      <c r="D118" s="2" t="s">
        <v>92</v>
      </c>
      <c r="E118" s="18">
        <f>1 - E100</f>
        <v>0.95</v>
      </c>
    </row>
    <row r="119" spans="1:5" ht="15.95" customHeight="1" x14ac:dyDescent="0.25">
      <c r="A119" s="19" t="s">
        <v>412</v>
      </c>
      <c r="B119" s="20" t="s">
        <v>413</v>
      </c>
      <c r="C119" s="3" t="s">
        <v>294</v>
      </c>
      <c r="D119" s="4" t="s">
        <v>415</v>
      </c>
      <c r="E119" s="21">
        <f>-3 * (100 / F11)</f>
        <v>-30</v>
      </c>
    </row>
    <row r="120" spans="1:5" ht="15.95" customHeight="1" x14ac:dyDescent="0.25">
      <c r="A120" s="19" t="s">
        <v>372</v>
      </c>
      <c r="B120" s="20" t="s">
        <v>373</v>
      </c>
      <c r="C120" s="3" t="s">
        <v>294</v>
      </c>
      <c r="D120" s="4" t="s">
        <v>293</v>
      </c>
      <c r="E120" s="21">
        <f>0</f>
        <v>0</v>
      </c>
    </row>
    <row r="121" spans="1:5" ht="15.95" customHeight="1" x14ac:dyDescent="0.25">
      <c r="A121" s="19" t="s">
        <v>597</v>
      </c>
      <c r="B121" s="20" t="s">
        <v>598</v>
      </c>
      <c r="C121" s="3" t="s">
        <v>294</v>
      </c>
      <c r="D121" s="4"/>
      <c r="E121" s="21" t="s">
        <v>542</v>
      </c>
    </row>
    <row r="122" spans="1:5" ht="15.95" customHeight="1" x14ac:dyDescent="0.25">
      <c r="A122" s="16" t="s">
        <v>100</v>
      </c>
      <c r="B122" s="17" t="s">
        <v>101</v>
      </c>
      <c r="C122" s="1" t="s">
        <v>26</v>
      </c>
      <c r="D122" s="2" t="s">
        <v>103</v>
      </c>
      <c r="E122" s="18">
        <f>(5 + F7 * 0.75)</f>
        <v>12.5</v>
      </c>
    </row>
    <row r="123" spans="1:5" ht="15.95" customHeight="1" x14ac:dyDescent="0.25">
      <c r="A123" s="19" t="s">
        <v>599</v>
      </c>
      <c r="B123" s="20" t="s">
        <v>600</v>
      </c>
      <c r="C123" s="3" t="s">
        <v>294</v>
      </c>
      <c r="D123" s="4"/>
      <c r="E123" s="21" t="s">
        <v>542</v>
      </c>
    </row>
    <row r="124" spans="1:5" ht="15.95" customHeight="1" x14ac:dyDescent="0.25">
      <c r="A124" s="19" t="s">
        <v>156</v>
      </c>
      <c r="B124" s="20" t="s">
        <v>420</v>
      </c>
      <c r="C124" s="3" t="s">
        <v>294</v>
      </c>
      <c r="D124" s="4" t="s">
        <v>293</v>
      </c>
      <c r="E124" s="21">
        <f>SUM(V18:V29)</f>
        <v>0</v>
      </c>
    </row>
    <row r="125" spans="1:5" ht="15.95" customHeight="1" x14ac:dyDescent="0.25">
      <c r="A125" s="16" t="s">
        <v>152</v>
      </c>
      <c r="B125" s="17" t="s">
        <v>153</v>
      </c>
      <c r="C125" s="1" t="s">
        <v>26</v>
      </c>
      <c r="D125" s="2" t="s">
        <v>155</v>
      </c>
      <c r="E125" s="18">
        <f>1 - E124</f>
        <v>1</v>
      </c>
    </row>
    <row r="126" spans="1:5" ht="15.95" customHeight="1" x14ac:dyDescent="0.25">
      <c r="A126" s="19" t="s">
        <v>114</v>
      </c>
      <c r="B126" s="20" t="s">
        <v>361</v>
      </c>
      <c r="C126" s="3" t="s">
        <v>294</v>
      </c>
      <c r="D126" s="4" t="s">
        <v>293</v>
      </c>
      <c r="E126" s="21">
        <f>SUM(T18:T29)</f>
        <v>0</v>
      </c>
    </row>
    <row r="127" spans="1:5" ht="15.95" customHeight="1" x14ac:dyDescent="0.25">
      <c r="A127" s="16" t="s">
        <v>110</v>
      </c>
      <c r="B127" s="17" t="s">
        <v>111</v>
      </c>
      <c r="C127" s="1" t="s">
        <v>26</v>
      </c>
      <c r="D127" s="2" t="s">
        <v>113</v>
      </c>
      <c r="E127" s="18">
        <f>1 - E126</f>
        <v>1</v>
      </c>
    </row>
    <row r="128" spans="1:5" ht="15.95" customHeight="1" x14ac:dyDescent="0.25">
      <c r="A128" s="19" t="s">
        <v>434</v>
      </c>
      <c r="B128" s="20" t="s">
        <v>435</v>
      </c>
      <c r="C128" s="3" t="s">
        <v>294</v>
      </c>
      <c r="D128" s="4" t="s">
        <v>189</v>
      </c>
      <c r="E128" s="21">
        <f>1000</f>
        <v>1000</v>
      </c>
    </row>
    <row r="129" spans="1:5" ht="15.95" customHeight="1" x14ac:dyDescent="0.25">
      <c r="A129" s="19" t="s">
        <v>82</v>
      </c>
      <c r="B129" s="20" t="s">
        <v>354</v>
      </c>
      <c r="C129" s="3" t="s">
        <v>294</v>
      </c>
      <c r="D129" s="4" t="s">
        <v>293</v>
      </c>
      <c r="E129" s="21">
        <f>SUM(S18:S29)</f>
        <v>0</v>
      </c>
    </row>
    <row r="130" spans="1:5" ht="15.95" customHeight="1" x14ac:dyDescent="0.25">
      <c r="A130" s="19" t="s">
        <v>601</v>
      </c>
      <c r="B130" s="20" t="s">
        <v>602</v>
      </c>
      <c r="C130" s="3" t="s">
        <v>294</v>
      </c>
      <c r="D130" s="4"/>
      <c r="E130" s="21" t="s">
        <v>542</v>
      </c>
    </row>
    <row r="131" spans="1:5" ht="15.95" customHeight="1" x14ac:dyDescent="0.25">
      <c r="A131" s="19" t="s">
        <v>603</v>
      </c>
      <c r="B131" s="20" t="s">
        <v>604</v>
      </c>
      <c r="C131" s="3" t="s">
        <v>294</v>
      </c>
      <c r="D131" s="4"/>
      <c r="E131" s="21" t="s">
        <v>542</v>
      </c>
    </row>
    <row r="132" spans="1:5" ht="15.95" customHeight="1" x14ac:dyDescent="0.25">
      <c r="A132" s="19" t="s">
        <v>431</v>
      </c>
      <c r="B132" s="20" t="s">
        <v>432</v>
      </c>
      <c r="C132" s="3" t="s">
        <v>294</v>
      </c>
      <c r="D132" s="4" t="s">
        <v>189</v>
      </c>
      <c r="E132" s="21">
        <f>1000</f>
        <v>1000</v>
      </c>
    </row>
    <row r="133" spans="1:5" ht="15.95" customHeight="1" x14ac:dyDescent="0.25">
      <c r="A133" s="19" t="s">
        <v>605</v>
      </c>
      <c r="B133" s="20" t="s">
        <v>606</v>
      </c>
      <c r="C133" s="3" t="s">
        <v>294</v>
      </c>
      <c r="D133" s="4"/>
      <c r="E133" s="21" t="s">
        <v>542</v>
      </c>
    </row>
    <row r="134" spans="1:5" ht="15.95" customHeight="1" x14ac:dyDescent="0.25">
      <c r="A134" s="19" t="s">
        <v>283</v>
      </c>
      <c r="B134" s="20" t="s">
        <v>479</v>
      </c>
      <c r="C134" s="3" t="s">
        <v>294</v>
      </c>
      <c r="D134" s="4" t="s">
        <v>293</v>
      </c>
      <c r="E134" s="21">
        <f>SUM(AB18:AB29)</f>
        <v>0</v>
      </c>
    </row>
    <row r="135" spans="1:5" ht="15.95" customHeight="1" x14ac:dyDescent="0.25">
      <c r="A135" s="16" t="s">
        <v>279</v>
      </c>
      <c r="B135" s="17" t="s">
        <v>280</v>
      </c>
      <c r="C135" s="1" t="s">
        <v>26</v>
      </c>
      <c r="D135" s="2" t="s">
        <v>282</v>
      </c>
      <c r="E135" s="18">
        <f>1 - E134</f>
        <v>1</v>
      </c>
    </row>
    <row r="136" spans="1:5" ht="15.95" customHeight="1" x14ac:dyDescent="0.25">
      <c r="A136" s="19" t="s">
        <v>295</v>
      </c>
      <c r="B136" s="20" t="s">
        <v>296</v>
      </c>
      <c r="C136" s="3" t="s">
        <v>294</v>
      </c>
      <c r="D136" s="4" t="s">
        <v>293</v>
      </c>
      <c r="E136" s="21">
        <f>0</f>
        <v>0</v>
      </c>
    </row>
    <row r="137" spans="1:5" ht="15.95" customHeight="1" x14ac:dyDescent="0.25">
      <c r="A137" s="19" t="s">
        <v>321</v>
      </c>
      <c r="B137" s="20" t="s">
        <v>322</v>
      </c>
      <c r="C137" s="3" t="s">
        <v>294</v>
      </c>
      <c r="D137" s="4" t="s">
        <v>324</v>
      </c>
      <c r="E137" s="21">
        <f>(E136 * (1 + E68))</f>
        <v>0</v>
      </c>
    </row>
    <row r="138" spans="1:5" ht="15.95" customHeight="1" x14ac:dyDescent="0.25">
      <c r="A138" s="19" t="s">
        <v>375</v>
      </c>
      <c r="B138" s="20" t="s">
        <v>376</v>
      </c>
      <c r="C138" s="3" t="s">
        <v>294</v>
      </c>
      <c r="D138" s="4" t="s">
        <v>378</v>
      </c>
      <c r="E138" s="21">
        <f>(E99 * (1 + E33))</f>
        <v>13</v>
      </c>
    </row>
    <row r="139" spans="1:5" ht="15.95" customHeight="1" x14ac:dyDescent="0.25">
      <c r="A139" s="13" t="s">
        <v>302</v>
      </c>
      <c r="B139" s="14" t="s">
        <v>302</v>
      </c>
      <c r="C139" s="5" t="s">
        <v>485</v>
      </c>
      <c r="D139" s="6" t="s">
        <v>293</v>
      </c>
      <c r="E139" s="15">
        <f>F9</f>
        <v>10</v>
      </c>
    </row>
    <row r="140" spans="1:5" ht="15.95" customHeight="1" x14ac:dyDescent="0.25">
      <c r="A140" s="19" t="s">
        <v>369</v>
      </c>
      <c r="B140" s="20" t="s">
        <v>370</v>
      </c>
      <c r="C140" s="3" t="s">
        <v>294</v>
      </c>
      <c r="D140" s="4" t="s">
        <v>319</v>
      </c>
      <c r="E140" s="21">
        <f>(F9 * 0.01)</f>
        <v>0.1</v>
      </c>
    </row>
    <row r="141" spans="1:5" ht="15.95" customHeight="1" x14ac:dyDescent="0.25">
      <c r="A141" s="19" t="s">
        <v>607</v>
      </c>
      <c r="B141" s="20" t="s">
        <v>608</v>
      </c>
      <c r="C141" s="3" t="s">
        <v>294</v>
      </c>
      <c r="D141" s="4"/>
      <c r="E141" s="21" t="s">
        <v>542</v>
      </c>
    </row>
    <row r="142" spans="1:5" ht="15.95" customHeight="1" x14ac:dyDescent="0.25">
      <c r="A142" s="19" t="s">
        <v>609</v>
      </c>
      <c r="B142" s="20" t="s">
        <v>610</v>
      </c>
      <c r="C142" s="3" t="s">
        <v>294</v>
      </c>
      <c r="D142" s="4"/>
      <c r="E142" s="21" t="s">
        <v>542</v>
      </c>
    </row>
    <row r="143" spans="1:5" ht="15.95" customHeight="1" x14ac:dyDescent="0.25">
      <c r="A143" s="16" t="s">
        <v>201</v>
      </c>
      <c r="B143" s="17" t="s">
        <v>202</v>
      </c>
      <c r="C143" s="1" t="s">
        <v>26</v>
      </c>
      <c r="D143" s="2" t="s">
        <v>204</v>
      </c>
      <c r="E143" s="18">
        <f>1 - E78</f>
        <v>1</v>
      </c>
    </row>
    <row r="144" spans="1:5" ht="15.95" customHeight="1" x14ac:dyDescent="0.25">
      <c r="A144" s="16" t="s">
        <v>63</v>
      </c>
      <c r="B144" s="17" t="s">
        <v>64</v>
      </c>
      <c r="C144" s="1" t="s">
        <v>26</v>
      </c>
      <c r="D144" s="2" t="s">
        <v>60</v>
      </c>
      <c r="E144" s="18">
        <f>(1 + F8 * 0.005)</f>
        <v>1.05</v>
      </c>
    </row>
    <row r="145" spans="1:5" ht="15.95" customHeight="1" x14ac:dyDescent="0.25">
      <c r="A145" s="19" t="s">
        <v>440</v>
      </c>
      <c r="B145" s="20" t="s">
        <v>441</v>
      </c>
      <c r="C145" s="3" t="s">
        <v>294</v>
      </c>
      <c r="D145" s="4" t="s">
        <v>189</v>
      </c>
      <c r="E145" s="21">
        <f>1000</f>
        <v>1000</v>
      </c>
    </row>
    <row r="146" spans="1:5" ht="15.95" customHeight="1" x14ac:dyDescent="0.25">
      <c r="A146" s="22" t="s">
        <v>611</v>
      </c>
      <c r="B146" s="23" t="s">
        <v>611</v>
      </c>
      <c r="C146" s="24" t="s">
        <v>612</v>
      </c>
      <c r="D146" s="25"/>
      <c r="E146" s="26" t="s">
        <v>542</v>
      </c>
    </row>
    <row r="147" spans="1:5" ht="15.95" customHeight="1" x14ac:dyDescent="0.25">
      <c r="A147" s="19" t="s">
        <v>315</v>
      </c>
      <c r="B147" s="20" t="s">
        <v>317</v>
      </c>
      <c r="C147" s="3" t="s">
        <v>294</v>
      </c>
      <c r="D147" s="4" t="s">
        <v>319</v>
      </c>
      <c r="E147" s="21">
        <f>(F9 * 0.01)</f>
        <v>0.1</v>
      </c>
    </row>
    <row r="148" spans="1:5" ht="15.95" customHeight="1" x14ac:dyDescent="0.25">
      <c r="A148" s="19" t="s">
        <v>311</v>
      </c>
      <c r="B148" s="20" t="s">
        <v>312</v>
      </c>
      <c r="C148" s="3" t="s">
        <v>294</v>
      </c>
      <c r="D148" s="4" t="s">
        <v>314</v>
      </c>
      <c r="E148" s="21">
        <f>(4 * (1 - (E147)))</f>
        <v>3.6</v>
      </c>
    </row>
    <row r="149" spans="1:5" ht="15.95" customHeight="1" x14ac:dyDescent="0.25">
      <c r="A149" s="19" t="s">
        <v>613</v>
      </c>
      <c r="B149" s="20" t="s">
        <v>614</v>
      </c>
      <c r="C149" s="3" t="s">
        <v>294</v>
      </c>
      <c r="D149" s="4"/>
      <c r="E149" s="21" t="s">
        <v>542</v>
      </c>
    </row>
    <row r="150" spans="1:5" ht="15.95" customHeight="1" x14ac:dyDescent="0.25">
      <c r="A150" s="19" t="s">
        <v>615</v>
      </c>
      <c r="B150" s="20" t="s">
        <v>616</v>
      </c>
      <c r="C150" s="3" t="s">
        <v>294</v>
      </c>
      <c r="D150" s="4"/>
      <c r="E150" s="21" t="s">
        <v>542</v>
      </c>
    </row>
    <row r="151" spans="1:5" ht="15.95" customHeight="1" x14ac:dyDescent="0.25">
      <c r="A151" s="19" t="s">
        <v>617</v>
      </c>
      <c r="B151" s="20" t="s">
        <v>618</v>
      </c>
      <c r="C151" s="3" t="s">
        <v>294</v>
      </c>
      <c r="D151" s="4"/>
      <c r="E151" s="21" t="s">
        <v>542</v>
      </c>
    </row>
    <row r="152" spans="1:5" ht="15.95" customHeight="1" x14ac:dyDescent="0.25">
      <c r="A152" s="19" t="s">
        <v>162</v>
      </c>
      <c r="B152" s="20" t="s">
        <v>422</v>
      </c>
      <c r="C152" s="3" t="s">
        <v>294</v>
      </c>
      <c r="D152" s="4" t="s">
        <v>293</v>
      </c>
      <c r="E152" s="21">
        <f>SUM(M18:M29)</f>
        <v>0</v>
      </c>
    </row>
    <row r="153" spans="1:5" ht="15.95" customHeight="1" x14ac:dyDescent="0.25">
      <c r="A153" s="19" t="s">
        <v>619</v>
      </c>
      <c r="B153" s="20" t="s">
        <v>620</v>
      </c>
      <c r="C153" s="3" t="s">
        <v>294</v>
      </c>
      <c r="D153" s="4"/>
      <c r="E153" s="21" t="s">
        <v>542</v>
      </c>
    </row>
    <row r="154" spans="1:5" ht="15.95" customHeight="1" x14ac:dyDescent="0.25">
      <c r="A154" s="16" t="s">
        <v>106</v>
      </c>
      <c r="B154" s="17" t="s">
        <v>107</v>
      </c>
      <c r="C154" s="1" t="s">
        <v>26</v>
      </c>
      <c r="D154" s="2" t="s">
        <v>109</v>
      </c>
      <c r="E154" s="18">
        <f>100</f>
        <v>100</v>
      </c>
    </row>
    <row r="155" spans="1:5" ht="15.95" customHeight="1" x14ac:dyDescent="0.25">
      <c r="A155" s="19" t="s">
        <v>621</v>
      </c>
      <c r="B155" s="20" t="s">
        <v>622</v>
      </c>
      <c r="C155" s="3" t="s">
        <v>294</v>
      </c>
      <c r="D155" s="4"/>
      <c r="E155" s="21" t="s">
        <v>542</v>
      </c>
    </row>
    <row r="156" spans="1:5" ht="15.95" customHeight="1" x14ac:dyDescent="0.25">
      <c r="A156" s="16" t="s">
        <v>84</v>
      </c>
      <c r="B156" s="17" t="s">
        <v>85</v>
      </c>
      <c r="C156" s="1" t="s">
        <v>26</v>
      </c>
      <c r="D156" s="2" t="s">
        <v>87</v>
      </c>
      <c r="E156" s="18">
        <f>E46</f>
        <v>7200</v>
      </c>
    </row>
    <row r="157" spans="1:5" ht="15.95" customHeight="1" x14ac:dyDescent="0.25">
      <c r="A157" s="19" t="s">
        <v>623</v>
      </c>
      <c r="B157" s="20" t="s">
        <v>624</v>
      </c>
      <c r="C157" s="3" t="s">
        <v>294</v>
      </c>
      <c r="D157" s="4"/>
      <c r="E157" s="21" t="s">
        <v>542</v>
      </c>
    </row>
    <row r="158" spans="1:5" ht="15.95" customHeight="1" x14ac:dyDescent="0.25">
      <c r="A158" s="13" t="s">
        <v>289</v>
      </c>
      <c r="B158" s="14" t="s">
        <v>289</v>
      </c>
      <c r="C158" s="5" t="s">
        <v>485</v>
      </c>
      <c r="D158" s="6" t="s">
        <v>293</v>
      </c>
      <c r="E158" s="15">
        <f>F12</f>
        <v>10</v>
      </c>
    </row>
    <row r="159" spans="1:5" ht="15.95" customHeight="1" x14ac:dyDescent="0.25">
      <c r="A159" s="16" t="s">
        <v>285</v>
      </c>
      <c r="B159" s="17" t="s">
        <v>286</v>
      </c>
      <c r="C159" s="1" t="s">
        <v>26</v>
      </c>
      <c r="D159" s="2" t="s">
        <v>288</v>
      </c>
      <c r="E159" s="18">
        <f>(1 + F12 * 0.01)</f>
        <v>1.1000000000000001</v>
      </c>
    </row>
    <row r="160" spans="1:5" ht="15.95" customHeight="1" x14ac:dyDescent="0.25">
      <c r="A160" s="19" t="s">
        <v>76</v>
      </c>
      <c r="B160" s="20" t="s">
        <v>352</v>
      </c>
      <c r="C160" s="3" t="s">
        <v>294</v>
      </c>
      <c r="D160" s="4" t="s">
        <v>30</v>
      </c>
      <c r="E160" s="21">
        <f>10+SUM(O18:O29)</f>
        <v>10</v>
      </c>
    </row>
    <row r="161" spans="1:5" ht="15.95" customHeight="1" x14ac:dyDescent="0.25">
      <c r="A161" s="16" t="s">
        <v>211</v>
      </c>
      <c r="B161" s="17" t="s">
        <v>212</v>
      </c>
      <c r="C161" s="1" t="s">
        <v>26</v>
      </c>
      <c r="D161" s="2" t="s">
        <v>214</v>
      </c>
      <c r="E161" s="18">
        <f>(1 + F7 * 0.01)</f>
        <v>1.1000000000000001</v>
      </c>
    </row>
    <row r="162" spans="1:5" ht="15.95" customHeight="1" x14ac:dyDescent="0.25">
      <c r="A162" s="19" t="s">
        <v>343</v>
      </c>
      <c r="B162" s="20" t="s">
        <v>344</v>
      </c>
      <c r="C162" s="3" t="s">
        <v>294</v>
      </c>
      <c r="D162" s="4" t="s">
        <v>346</v>
      </c>
      <c r="E162" s="21">
        <f>(1 + F11 * 0.005)</f>
        <v>1.05</v>
      </c>
    </row>
    <row r="163" spans="1:5" ht="15.95" customHeight="1" x14ac:dyDescent="0.25">
      <c r="A163" s="16" t="s">
        <v>256</v>
      </c>
      <c r="B163" s="17" t="s">
        <v>257</v>
      </c>
      <c r="C163" s="1" t="s">
        <v>26</v>
      </c>
      <c r="D163" s="2" t="s">
        <v>259</v>
      </c>
      <c r="E163" s="18">
        <f>1 - E95</f>
        <v>1</v>
      </c>
    </row>
    <row r="164" spans="1:5" ht="15.95" customHeight="1" x14ac:dyDescent="0.25">
      <c r="A164" s="19" t="s">
        <v>23</v>
      </c>
      <c r="B164" s="20" t="s">
        <v>291</v>
      </c>
      <c r="C164" s="3" t="s">
        <v>294</v>
      </c>
      <c r="D164" s="4" t="s">
        <v>293</v>
      </c>
      <c r="E164" s="21">
        <f>SUM(Q18:Q29)</f>
        <v>0</v>
      </c>
    </row>
    <row r="165" spans="1:5" ht="15.95" customHeight="1" x14ac:dyDescent="0.25">
      <c r="A165" s="16" t="s">
        <v>78</v>
      </c>
      <c r="B165" s="17" t="s">
        <v>79</v>
      </c>
      <c r="C165" s="1" t="s">
        <v>26</v>
      </c>
      <c r="D165" s="2" t="s">
        <v>81</v>
      </c>
      <c r="E165" s="18">
        <f>1 - E129</f>
        <v>1</v>
      </c>
    </row>
    <row r="166" spans="1:5" ht="15.95" customHeight="1" x14ac:dyDescent="0.25">
      <c r="A166" s="19" t="s">
        <v>337</v>
      </c>
      <c r="B166" s="20" t="s">
        <v>338</v>
      </c>
      <c r="C166" s="3" t="s">
        <v>294</v>
      </c>
      <c r="D166" s="4" t="s">
        <v>340</v>
      </c>
      <c r="E166" s="21">
        <f>-10 * (100 / F11)</f>
        <v>-100</v>
      </c>
    </row>
    <row r="167" spans="1:5" ht="15.95" customHeight="1" x14ac:dyDescent="0.25">
      <c r="A167" s="19" t="s">
        <v>625</v>
      </c>
      <c r="B167" s="20" t="s">
        <v>626</v>
      </c>
      <c r="C167" s="3" t="s">
        <v>294</v>
      </c>
      <c r="D167" s="4"/>
      <c r="E167" s="21" t="s">
        <v>542</v>
      </c>
    </row>
    <row r="168" spans="1:5" ht="15.95" customHeight="1" x14ac:dyDescent="0.25">
      <c r="A168" s="19" t="s">
        <v>298</v>
      </c>
      <c r="B168" s="20" t="s">
        <v>299</v>
      </c>
      <c r="C168" s="3" t="s">
        <v>294</v>
      </c>
      <c r="D168" s="4" t="s">
        <v>301</v>
      </c>
      <c r="E168" s="21">
        <f>(F9 * 0.002)</f>
        <v>0.02</v>
      </c>
    </row>
    <row r="169" spans="1:5" ht="15.95" customHeight="1" x14ac:dyDescent="0.25">
      <c r="A169" s="19" t="s">
        <v>363</v>
      </c>
      <c r="B169" s="20" t="s">
        <v>364</v>
      </c>
      <c r="C169" s="3" t="s">
        <v>294</v>
      </c>
      <c r="D169" s="4" t="s">
        <v>366</v>
      </c>
      <c r="E169" s="21">
        <f>(E168 * (1 + E140))</f>
        <v>2.2000000000000002E-2</v>
      </c>
    </row>
    <row r="170" spans="1:5" ht="15.95" customHeight="1" x14ac:dyDescent="0.25">
      <c r="A170" s="16" t="s">
        <v>186</v>
      </c>
      <c r="B170" s="17" t="s">
        <v>187</v>
      </c>
      <c r="C170" s="1" t="s">
        <v>26</v>
      </c>
      <c r="D170" s="2" t="s">
        <v>189</v>
      </c>
      <c r="E170" s="18">
        <f>1000</f>
        <v>1000</v>
      </c>
    </row>
    <row r="171" spans="1:5" ht="15.95" customHeight="1" x14ac:dyDescent="0.25">
      <c r="A171" s="19" t="s">
        <v>70</v>
      </c>
      <c r="B171" s="20" t="s">
        <v>332</v>
      </c>
      <c r="C171" s="3" t="s">
        <v>294</v>
      </c>
      <c r="D171" s="4" t="s">
        <v>293</v>
      </c>
      <c r="E171" s="21">
        <f>SUM(R18:R29)</f>
        <v>0</v>
      </c>
    </row>
    <row r="172" spans="1:5" ht="15.95" customHeight="1" x14ac:dyDescent="0.25">
      <c r="A172" s="16" t="s">
        <v>274</v>
      </c>
      <c r="B172" s="17" t="s">
        <v>275</v>
      </c>
      <c r="C172" s="1" t="s">
        <v>26</v>
      </c>
      <c r="D172" s="2" t="s">
        <v>277</v>
      </c>
      <c r="E172" s="18">
        <f>(1 - F7 * 0.005)</f>
        <v>0.95</v>
      </c>
    </row>
    <row r="173" spans="1:5" ht="15.95" customHeight="1" x14ac:dyDescent="0.25">
      <c r="A173" s="19" t="s">
        <v>356</v>
      </c>
      <c r="B173" s="20" t="s">
        <v>357</v>
      </c>
      <c r="C173" s="3" t="s">
        <v>294</v>
      </c>
      <c r="D173" s="4" t="s">
        <v>359</v>
      </c>
      <c r="E173" s="21">
        <f>20 * (F11 / 100)</f>
        <v>2</v>
      </c>
    </row>
    <row r="174" spans="1:5" ht="15.95" customHeight="1" x14ac:dyDescent="0.25">
      <c r="A174" s="19" t="s">
        <v>334</v>
      </c>
      <c r="B174" s="20" t="s">
        <v>335</v>
      </c>
      <c r="C174" s="3" t="s">
        <v>294</v>
      </c>
      <c r="D174" s="4" t="s">
        <v>336</v>
      </c>
      <c r="E174" s="21">
        <f>1</f>
        <v>1</v>
      </c>
    </row>
    <row r="175" spans="1:5" ht="15.95" customHeight="1" x14ac:dyDescent="0.25">
      <c r="A175" s="19" t="s">
        <v>463</v>
      </c>
      <c r="B175" s="20" t="s">
        <v>464</v>
      </c>
      <c r="C175" s="3" t="s">
        <v>294</v>
      </c>
      <c r="D175" s="4" t="s">
        <v>293</v>
      </c>
      <c r="E175" s="21">
        <f>0</f>
        <v>0</v>
      </c>
    </row>
    <row r="176" spans="1:5" ht="15.95" customHeight="1" x14ac:dyDescent="0.25">
      <c r="A176" s="19" t="s">
        <v>627</v>
      </c>
      <c r="B176" s="20" t="s">
        <v>628</v>
      </c>
      <c r="C176" s="3" t="s">
        <v>294</v>
      </c>
      <c r="D176" s="4"/>
      <c r="E176" s="21" t="s">
        <v>542</v>
      </c>
    </row>
    <row r="177" spans="1:5" ht="15.95" customHeight="1" x14ac:dyDescent="0.25">
      <c r="A177" s="19" t="s">
        <v>629</v>
      </c>
      <c r="B177" s="20" t="s">
        <v>630</v>
      </c>
      <c r="C177" s="3" t="s">
        <v>294</v>
      </c>
      <c r="D177" s="4"/>
      <c r="E177" s="21" t="s">
        <v>542</v>
      </c>
    </row>
    <row r="178" spans="1:5" ht="15.95" customHeight="1" x14ac:dyDescent="0.25">
      <c r="A178" s="19" t="s">
        <v>631</v>
      </c>
      <c r="B178" s="20" t="s">
        <v>632</v>
      </c>
      <c r="C178" s="3" t="s">
        <v>294</v>
      </c>
      <c r="D178" s="4"/>
      <c r="E178" s="21" t="s">
        <v>542</v>
      </c>
    </row>
    <row r="179" spans="1:5" ht="15.95" customHeight="1" x14ac:dyDescent="0.25">
      <c r="A179" s="16" t="s">
        <v>131</v>
      </c>
      <c r="B179" s="17" t="s">
        <v>132</v>
      </c>
      <c r="C179" s="1" t="s">
        <v>26</v>
      </c>
      <c r="D179" s="2" t="s">
        <v>134</v>
      </c>
      <c r="E179" s="18">
        <f>(1 + F8 * 0.01)</f>
        <v>1.1000000000000001</v>
      </c>
    </row>
    <row r="180" spans="1:5" ht="15.95" customHeight="1" x14ac:dyDescent="0.25">
      <c r="A180" s="16" t="s">
        <v>190</v>
      </c>
      <c r="B180" s="17" t="s">
        <v>191</v>
      </c>
      <c r="C180" s="1" t="s">
        <v>26</v>
      </c>
      <c r="D180" s="2" t="s">
        <v>109</v>
      </c>
      <c r="E180" s="18">
        <f>100</f>
        <v>100</v>
      </c>
    </row>
    <row r="181" spans="1:5" ht="15.95" customHeight="1" x14ac:dyDescent="0.25">
      <c r="A181" s="19" t="s">
        <v>633</v>
      </c>
      <c r="B181" s="20" t="s">
        <v>634</v>
      </c>
      <c r="C181" s="3" t="s">
        <v>294</v>
      </c>
      <c r="D181" s="4"/>
      <c r="E181" s="21" t="s">
        <v>542</v>
      </c>
    </row>
    <row r="182" spans="1:5" ht="15.95" customHeight="1" x14ac:dyDescent="0.25">
      <c r="A182" s="16" t="s">
        <v>158</v>
      </c>
      <c r="B182" s="17" t="s">
        <v>159</v>
      </c>
      <c r="C182" s="1" t="s">
        <v>26</v>
      </c>
      <c r="D182" s="2" t="s">
        <v>161</v>
      </c>
      <c r="E182" s="18">
        <f>1 - (0.003 * E152) / (1 + 0.003 * E152)</f>
        <v>1</v>
      </c>
    </row>
    <row r="183" spans="1:5" ht="15.95" customHeight="1" x14ac:dyDescent="0.25">
      <c r="A183" s="19" t="s">
        <v>383</v>
      </c>
      <c r="B183" s="20" t="s">
        <v>384</v>
      </c>
      <c r="C183" s="3" t="s">
        <v>294</v>
      </c>
      <c r="D183" s="4" t="s">
        <v>386</v>
      </c>
      <c r="E183" s="21">
        <f>(0.1 + F11 * 0.005)</f>
        <v>0.15000000000000002</v>
      </c>
    </row>
    <row r="184" spans="1:5" ht="15.95" customHeight="1" x14ac:dyDescent="0.25">
      <c r="A184" s="16" t="s">
        <v>127</v>
      </c>
      <c r="B184" s="17" t="s">
        <v>128</v>
      </c>
      <c r="C184" s="1" t="s">
        <v>26</v>
      </c>
      <c r="D184" s="2" t="s">
        <v>130</v>
      </c>
      <c r="E184" s="18">
        <f>20</f>
        <v>20</v>
      </c>
    </row>
    <row r="185" spans="1:5" ht="15.95" customHeight="1" x14ac:dyDescent="0.25">
      <c r="A185" s="19" t="s">
        <v>398</v>
      </c>
      <c r="B185" s="20" t="s">
        <v>399</v>
      </c>
      <c r="C185" s="3" t="s">
        <v>294</v>
      </c>
      <c r="D185" s="4" t="s">
        <v>401</v>
      </c>
      <c r="E185" s="21">
        <f>(E69 * (1 + E36))</f>
        <v>0.11000000000000001</v>
      </c>
    </row>
    <row r="186" spans="1:5" ht="15.95" customHeight="1" x14ac:dyDescent="0.25">
      <c r="A186" s="19" t="s">
        <v>635</v>
      </c>
      <c r="B186" s="20" t="s">
        <v>636</v>
      </c>
      <c r="C186" s="3" t="s">
        <v>294</v>
      </c>
      <c r="D186" s="4"/>
      <c r="E186" s="21" t="s">
        <v>542</v>
      </c>
    </row>
    <row r="187" spans="1:5" ht="15.95" customHeight="1" x14ac:dyDescent="0.25">
      <c r="A187" s="19" t="s">
        <v>481</v>
      </c>
      <c r="B187" s="20" t="s">
        <v>482</v>
      </c>
      <c r="C187" s="3" t="s">
        <v>294</v>
      </c>
      <c r="D187" s="4" t="s">
        <v>293</v>
      </c>
      <c r="E187" s="21">
        <f>SUM(N18:N29)</f>
        <v>0</v>
      </c>
    </row>
    <row r="188" spans="1:5" ht="15.95" customHeight="1" x14ac:dyDescent="0.25">
      <c r="A188" s="19" t="s">
        <v>637</v>
      </c>
      <c r="B188" s="20" t="s">
        <v>638</v>
      </c>
      <c r="C188" s="3" t="s">
        <v>294</v>
      </c>
      <c r="D188" s="4"/>
      <c r="E188" s="21" t="s">
        <v>542</v>
      </c>
    </row>
    <row r="189" spans="1:5" ht="15.95" customHeight="1" x14ac:dyDescent="0.25">
      <c r="A189" s="19" t="s">
        <v>459</v>
      </c>
      <c r="B189" s="20" t="s">
        <v>460</v>
      </c>
      <c r="C189" s="3" t="s">
        <v>294</v>
      </c>
      <c r="D189" s="4" t="s">
        <v>462</v>
      </c>
      <c r="E189" s="21">
        <f>0.05</f>
        <v>0.05</v>
      </c>
    </row>
    <row r="190" spans="1:5" ht="15.95" customHeight="1" x14ac:dyDescent="0.25">
      <c r="A190" s="19" t="s">
        <v>391</v>
      </c>
      <c r="B190" s="20" t="s">
        <v>392</v>
      </c>
      <c r="C190" s="3" t="s">
        <v>294</v>
      </c>
      <c r="D190" s="4" t="s">
        <v>394</v>
      </c>
      <c r="E190" s="21">
        <f>1 - E85</f>
        <v>0.89500000000000002</v>
      </c>
    </row>
    <row r="191" spans="1:5" ht="15.95" customHeight="1" x14ac:dyDescent="0.25">
      <c r="A191" s="16" t="s">
        <v>19</v>
      </c>
      <c r="B191" s="17" t="s">
        <v>20</v>
      </c>
      <c r="C191" s="1" t="s">
        <v>26</v>
      </c>
      <c r="D191" s="2" t="s">
        <v>22</v>
      </c>
      <c r="E191" s="18">
        <f>1 - E164</f>
        <v>1</v>
      </c>
    </row>
    <row r="192" spans="1:5" ht="15.95" customHeight="1" x14ac:dyDescent="0.25">
      <c r="A192" s="16" t="s">
        <v>231</v>
      </c>
      <c r="B192" s="17" t="s">
        <v>232</v>
      </c>
      <c r="C192" s="1" t="s">
        <v>26</v>
      </c>
      <c r="D192" s="2" t="s">
        <v>234</v>
      </c>
      <c r="E192" s="18">
        <f>10000000</f>
        <v>10000000</v>
      </c>
    </row>
    <row r="193" spans="1:5" ht="15.95" customHeight="1" x14ac:dyDescent="0.25">
      <c r="A193" s="16" t="s">
        <v>72</v>
      </c>
      <c r="B193" s="17" t="s">
        <v>73</v>
      </c>
      <c r="C193" s="1" t="s">
        <v>26</v>
      </c>
      <c r="D193" s="2" t="s">
        <v>75</v>
      </c>
      <c r="E193" s="18">
        <f>(2 * (1 / (1 + EXP(-0.011 * E160))) - 1)</f>
        <v>5.494460868918738E-2</v>
      </c>
    </row>
    <row r="194" spans="1:5" ht="15.95" customHeight="1" x14ac:dyDescent="0.25">
      <c r="A194" s="19" t="s">
        <v>639</v>
      </c>
      <c r="B194" s="20" t="s">
        <v>640</v>
      </c>
      <c r="C194" s="3" t="s">
        <v>294</v>
      </c>
      <c r="D194" s="4"/>
      <c r="E194" s="21" t="s">
        <v>542</v>
      </c>
    </row>
    <row r="195" spans="1:5" ht="15.95" customHeight="1" x14ac:dyDescent="0.25">
      <c r="A195" s="16" t="s">
        <v>66</v>
      </c>
      <c r="B195" s="17" t="s">
        <v>67</v>
      </c>
      <c r="C195" s="1" t="s">
        <v>26</v>
      </c>
      <c r="D195" s="2" t="s">
        <v>69</v>
      </c>
      <c r="E195" s="18">
        <f>1 - E171</f>
        <v>1</v>
      </c>
    </row>
  </sheetData>
  <mergeCells count="2">
    <mergeCell ref="A16:AB16"/>
    <mergeCell ref="A1:F1"/>
  </mergeCells>
  <dataValidations count="10">
    <dataValidation type="list" allowBlank="1" sqref="B2" xr:uid="{00000000-0002-0000-0300-000000000000}">
      <formula1>"Cait Sith (Arthurian),Dvergr (Viking),Firbog (TDD),Golem (Arthurian),Hamadryad (TDD),HumanMaleA (Arthurian),HumanMaleT (TDD),HumanMaleV (Viking),Jotnar (Viking),Luchorpan (TDD),Pict (Arthurian),St'rm (Arthurian),Stormrider (Arthurian),Valkyrie (Viking)"</formula1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6" xr:uid="{00000000-0002-0000-0300-000001000000}">
      <formula1>0</formula1>
      <formula2>MIN(40,C6+(130-SUM(C6:C14)))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7" xr:uid="{00000000-0002-0000-0300-000002000000}">
      <formula1>0</formula1>
      <formula2>MIN(40,C7+(130-SUM(C6:C14)))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8" xr:uid="{00000000-0002-0000-0300-000003000000}">
      <formula1>0</formula1>
      <formula2>MIN(40,C8+(130-SUM(C6:C14)))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9" xr:uid="{00000000-0002-0000-0300-000004000000}">
      <formula1>0</formula1>
      <formula2>MIN(40,C9+(130-SUM(C6:C14)))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10" xr:uid="{00000000-0002-0000-0300-000005000000}">
      <formula1>0</formula1>
      <formula2>MIN(40,C10+(130-SUM(C6:C14)))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11" xr:uid="{00000000-0002-0000-0300-000006000000}">
      <formula1>0</formula1>
      <formula2>MIN(40,C11+(130-SUM(C6:C14)))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12" xr:uid="{00000000-0002-0000-0300-000007000000}">
      <formula1>0</formula1>
      <formula2>MIN(40,C12+(130-SUM(C6:C14)))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13" xr:uid="{00000000-0002-0000-0300-000008000000}">
      <formula1>0</formula1>
      <formula2>MIN(40,C13+(130-SUM(C6:C14)))</formula2>
    </dataValidation>
    <dataValidation type="whole" showInputMessage="1" showErrorMessage="1" errorTitle="Invalid Allocation" error="Value must be between 0 and 40, and cannot exceed your remaining points." promptTitle="Stat Allocation" prompt="Max 40 per stat. Cannot exceed remaining points." sqref="C14" xr:uid="{00000000-0002-0000-0300-000009000000}">
      <formula1>0</formula1>
      <formula2>MIN(40,C14+(130-SUM(C6:C14)))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0F35-426E-4523-930A-CFF0230F31F5}">
  <dimension ref="A1:S115"/>
  <sheetViews>
    <sheetView tabSelected="1" zoomScaleNormal="100" workbookViewId="0">
      <pane xSplit="2" ySplit="1" topLeftCell="C13" activePane="bottomRight" state="frozen"/>
      <selection pane="topRight" activeCell="C1" sqref="C1"/>
      <selection pane="bottomLeft" activeCell="A2" sqref="A2"/>
      <selection pane="bottomRight" activeCell="D27" sqref="D27"/>
    </sheetView>
  </sheetViews>
  <sheetFormatPr defaultRowHeight="15" x14ac:dyDescent="0.25"/>
  <cols>
    <col min="1" max="1" width="30" customWidth="1"/>
    <col min="2" max="2" width="32" customWidth="1"/>
    <col min="3" max="4" width="50" customWidth="1"/>
    <col min="5" max="5" width="18.42578125" bestFit="1" customWidth="1"/>
    <col min="6" max="6" width="22.28515625" bestFit="1" customWidth="1"/>
    <col min="7" max="7" width="40" customWidth="1"/>
    <col min="8" max="8" width="60" customWidth="1"/>
    <col min="9" max="10" width="14" customWidth="1"/>
    <col min="11" max="12" width="18" customWidth="1"/>
    <col min="13" max="13" width="15.42578125" customWidth="1"/>
    <col min="14" max="14" width="17.5703125" customWidth="1"/>
    <col min="15" max="15" width="22.28515625" customWidth="1"/>
    <col min="16" max="16" width="22.140625" customWidth="1"/>
    <col min="17" max="17" width="22.5703125" customWidth="1"/>
    <col min="18" max="18" width="80" customWidth="1"/>
    <col min="19" max="19" width="12" customWidth="1"/>
  </cols>
  <sheetData>
    <row r="1" spans="1:19" ht="42" customHeight="1" x14ac:dyDescent="0.25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4" t="s">
        <v>18</v>
      </c>
    </row>
    <row r="2" spans="1:19" ht="20.100000000000001" customHeight="1" x14ac:dyDescent="0.25">
      <c r="A2" s="37" t="s">
        <v>19</v>
      </c>
      <c r="B2" s="38" t="s">
        <v>20</v>
      </c>
      <c r="C2" s="39" t="s">
        <v>21</v>
      </c>
      <c r="D2" s="50" t="s">
        <v>22</v>
      </c>
      <c r="E2" s="38">
        <v>1</v>
      </c>
      <c r="F2" s="38"/>
      <c r="G2" s="39" t="s">
        <v>23</v>
      </c>
      <c r="H2" s="39" t="s">
        <v>23</v>
      </c>
      <c r="I2" s="40">
        <v>1</v>
      </c>
      <c r="J2" s="40">
        <v>1</v>
      </c>
      <c r="K2" s="40">
        <v>1</v>
      </c>
      <c r="L2" s="40">
        <v>1</v>
      </c>
      <c r="M2" s="40">
        <v>1</v>
      </c>
      <c r="N2" s="40">
        <v>1</v>
      </c>
      <c r="O2" s="40">
        <v>1</v>
      </c>
      <c r="P2" s="40">
        <v>1</v>
      </c>
      <c r="Q2" s="38" t="s">
        <v>24</v>
      </c>
      <c r="R2" s="39" t="s">
        <v>25</v>
      </c>
      <c r="S2" s="41" t="s">
        <v>26</v>
      </c>
    </row>
    <row r="3" spans="1:19" ht="20.100000000000001" customHeight="1" x14ac:dyDescent="0.25">
      <c r="A3" s="37" t="s">
        <v>27</v>
      </c>
      <c r="B3" s="38" t="s">
        <v>28</v>
      </c>
      <c r="C3" s="39" t="s">
        <v>29</v>
      </c>
      <c r="D3" s="51" t="s">
        <v>30</v>
      </c>
      <c r="E3" s="38">
        <v>10</v>
      </c>
      <c r="F3" s="38"/>
      <c r="G3" s="39"/>
      <c r="H3" s="39"/>
      <c r="I3" s="40">
        <v>10</v>
      </c>
      <c r="J3" s="40">
        <v>10</v>
      </c>
      <c r="K3" s="40">
        <v>10</v>
      </c>
      <c r="L3" s="40">
        <v>10</v>
      </c>
      <c r="M3" s="40">
        <v>10</v>
      </c>
      <c r="N3" s="40">
        <v>10</v>
      </c>
      <c r="O3" s="40">
        <v>10</v>
      </c>
      <c r="P3" s="40">
        <v>10</v>
      </c>
      <c r="Q3" s="38" t="s">
        <v>24</v>
      </c>
      <c r="R3" s="39" t="s">
        <v>30</v>
      </c>
      <c r="S3" s="41" t="s">
        <v>26</v>
      </c>
    </row>
    <row r="4" spans="1:19" ht="30" customHeight="1" x14ac:dyDescent="0.25">
      <c r="A4" s="37" t="s">
        <v>31</v>
      </c>
      <c r="B4" s="38" t="s">
        <v>32</v>
      </c>
      <c r="C4" s="39" t="s">
        <v>33</v>
      </c>
      <c r="D4" s="52" t="s">
        <v>34</v>
      </c>
      <c r="E4" s="38">
        <v>33.333333000000003</v>
      </c>
      <c r="F4" s="38" t="s">
        <v>35</v>
      </c>
      <c r="G4" s="39" t="s">
        <v>36</v>
      </c>
      <c r="H4" s="39" t="s">
        <v>37</v>
      </c>
      <c r="I4" s="40">
        <v>48</v>
      </c>
      <c r="J4" s="40">
        <v>51.253332999999998</v>
      </c>
      <c r="K4" s="40">
        <v>52.92</v>
      </c>
      <c r="L4" s="40">
        <v>54.613332999999997</v>
      </c>
      <c r="M4" s="40">
        <v>133.33333300000001</v>
      </c>
      <c r="N4" s="40">
        <v>138.72</v>
      </c>
      <c r="O4" s="40">
        <v>141.45333299999999</v>
      </c>
      <c r="P4" s="40">
        <v>144.21333300000001</v>
      </c>
      <c r="Q4" s="38" t="s">
        <v>24</v>
      </c>
      <c r="R4" s="39" t="s">
        <v>38</v>
      </c>
      <c r="S4" s="41" t="s">
        <v>26</v>
      </c>
    </row>
    <row r="5" spans="1:19" ht="20.100000000000001" customHeight="1" x14ac:dyDescent="0.25">
      <c r="A5" s="37" t="s">
        <v>39</v>
      </c>
      <c r="B5" s="38" t="s">
        <v>40</v>
      </c>
      <c r="C5" s="39" t="s">
        <v>41</v>
      </c>
      <c r="D5" s="52" t="s">
        <v>42</v>
      </c>
      <c r="E5" s="38">
        <v>10</v>
      </c>
      <c r="F5" s="38" t="s">
        <v>43</v>
      </c>
      <c r="G5" s="39" t="s">
        <v>44</v>
      </c>
      <c r="H5" s="39" t="s">
        <v>45</v>
      </c>
      <c r="I5" s="40">
        <v>14.4</v>
      </c>
      <c r="J5" s="40">
        <v>15.375999999999999</v>
      </c>
      <c r="K5" s="40">
        <v>15.875999999999999</v>
      </c>
      <c r="L5" s="40">
        <v>16.384</v>
      </c>
      <c r="M5" s="40">
        <v>40</v>
      </c>
      <c r="N5" s="40">
        <v>41.616</v>
      </c>
      <c r="O5" s="40">
        <v>42.436</v>
      </c>
      <c r="P5" s="40">
        <v>43.264000000000003</v>
      </c>
      <c r="Q5" s="38" t="s">
        <v>24</v>
      </c>
      <c r="R5" s="39" t="s">
        <v>46</v>
      </c>
      <c r="S5" s="41" t="s">
        <v>26</v>
      </c>
    </row>
    <row r="6" spans="1:19" ht="20.100000000000001" customHeight="1" x14ac:dyDescent="0.25">
      <c r="A6" s="37" t="s">
        <v>47</v>
      </c>
      <c r="B6" s="38" t="s">
        <v>48</v>
      </c>
      <c r="C6" s="39" t="s">
        <v>49</v>
      </c>
      <c r="D6" s="52" t="s">
        <v>50</v>
      </c>
      <c r="E6" s="38">
        <v>5000</v>
      </c>
      <c r="F6" s="38" t="s">
        <v>35</v>
      </c>
      <c r="G6" s="39"/>
      <c r="H6" s="39"/>
      <c r="I6" s="40">
        <v>6000</v>
      </c>
      <c r="J6" s="40">
        <v>6200</v>
      </c>
      <c r="K6" s="40">
        <v>6300</v>
      </c>
      <c r="L6" s="40">
        <v>6400</v>
      </c>
      <c r="M6" s="40">
        <v>10000</v>
      </c>
      <c r="N6" s="40">
        <v>10200</v>
      </c>
      <c r="O6" s="40">
        <v>10300</v>
      </c>
      <c r="P6" s="40">
        <v>10400</v>
      </c>
      <c r="Q6" s="38" t="s">
        <v>24</v>
      </c>
      <c r="R6" s="39" t="s">
        <v>51</v>
      </c>
      <c r="S6" s="41" t="s">
        <v>26</v>
      </c>
    </row>
    <row r="7" spans="1:19" ht="20.100000000000001" customHeight="1" x14ac:dyDescent="0.25">
      <c r="A7" s="37" t="s">
        <v>52</v>
      </c>
      <c r="B7" s="38" t="s">
        <v>53</v>
      </c>
      <c r="C7" s="39" t="s">
        <v>54</v>
      </c>
      <c r="D7" s="52" t="s">
        <v>55</v>
      </c>
      <c r="E7" s="38">
        <v>5000</v>
      </c>
      <c r="F7" s="38" t="s">
        <v>43</v>
      </c>
      <c r="G7" s="39"/>
      <c r="H7" s="39"/>
      <c r="I7" s="40">
        <v>6000</v>
      </c>
      <c r="J7" s="40">
        <v>6200</v>
      </c>
      <c r="K7" s="40">
        <v>6300</v>
      </c>
      <c r="L7" s="40">
        <v>6400</v>
      </c>
      <c r="M7" s="40">
        <v>10000</v>
      </c>
      <c r="N7" s="40">
        <v>10200</v>
      </c>
      <c r="O7" s="40">
        <v>10300</v>
      </c>
      <c r="P7" s="40">
        <v>10400</v>
      </c>
      <c r="Q7" s="38" t="s">
        <v>24</v>
      </c>
      <c r="R7" s="39" t="s">
        <v>56</v>
      </c>
      <c r="S7" s="41" t="s">
        <v>26</v>
      </c>
    </row>
    <row r="8" spans="1:19" ht="20.100000000000001" customHeight="1" x14ac:dyDescent="0.25">
      <c r="A8" s="37" t="s">
        <v>57</v>
      </c>
      <c r="B8" s="38" t="s">
        <v>58</v>
      </c>
      <c r="C8" s="39" t="s">
        <v>59</v>
      </c>
      <c r="D8" s="52" t="s">
        <v>60</v>
      </c>
      <c r="E8" s="38">
        <v>1</v>
      </c>
      <c r="F8" s="38" t="s">
        <v>61</v>
      </c>
      <c r="G8" s="39"/>
      <c r="H8" s="39"/>
      <c r="I8" s="40">
        <v>1.05</v>
      </c>
      <c r="J8" s="40">
        <v>1.06</v>
      </c>
      <c r="K8" s="40">
        <v>1.0649999999999999</v>
      </c>
      <c r="L8" s="40">
        <v>1.07</v>
      </c>
      <c r="M8" s="40">
        <v>1.25</v>
      </c>
      <c r="N8" s="40">
        <v>1.26</v>
      </c>
      <c r="O8" s="40">
        <v>1.2649999999999999</v>
      </c>
      <c r="P8" s="40">
        <v>1.27</v>
      </c>
      <c r="Q8" s="38" t="s">
        <v>24</v>
      </c>
      <c r="R8" s="39" t="s">
        <v>62</v>
      </c>
      <c r="S8" s="41" t="s">
        <v>26</v>
      </c>
    </row>
    <row r="9" spans="1:19" ht="20.100000000000001" customHeight="1" x14ac:dyDescent="0.25">
      <c r="A9" s="37" t="s">
        <v>63</v>
      </c>
      <c r="B9" s="38" t="s">
        <v>64</v>
      </c>
      <c r="C9" s="39" t="s">
        <v>65</v>
      </c>
      <c r="D9" s="52" t="s">
        <v>60</v>
      </c>
      <c r="E9" s="38">
        <v>1</v>
      </c>
      <c r="F9" s="38" t="s">
        <v>61</v>
      </c>
      <c r="G9" s="39"/>
      <c r="H9" s="39"/>
      <c r="I9" s="40">
        <v>1.05</v>
      </c>
      <c r="J9" s="40">
        <v>1.06</v>
      </c>
      <c r="K9" s="40">
        <v>1.0649999999999999</v>
      </c>
      <c r="L9" s="40">
        <v>1.07</v>
      </c>
      <c r="M9" s="40">
        <v>1.25</v>
      </c>
      <c r="N9" s="40">
        <v>1.26</v>
      </c>
      <c r="O9" s="40">
        <v>1.2649999999999999</v>
      </c>
      <c r="P9" s="40">
        <v>1.27</v>
      </c>
      <c r="Q9" s="38" t="s">
        <v>24</v>
      </c>
      <c r="R9" s="39" t="s">
        <v>62</v>
      </c>
      <c r="S9" s="41" t="s">
        <v>26</v>
      </c>
    </row>
    <row r="10" spans="1:19" ht="20.100000000000001" customHeight="1" x14ac:dyDescent="0.25">
      <c r="A10" s="37" t="s">
        <v>66</v>
      </c>
      <c r="B10" s="38" t="s">
        <v>67</v>
      </c>
      <c r="C10" s="39" t="s">
        <v>68</v>
      </c>
      <c r="D10" s="50" t="s">
        <v>69</v>
      </c>
      <c r="E10" s="38">
        <v>1</v>
      </c>
      <c r="F10" s="38"/>
      <c r="G10" s="39" t="s">
        <v>70</v>
      </c>
      <c r="H10" s="39" t="s">
        <v>70</v>
      </c>
      <c r="I10" s="40">
        <v>1</v>
      </c>
      <c r="J10" s="40">
        <v>1</v>
      </c>
      <c r="K10" s="40">
        <v>1</v>
      </c>
      <c r="L10" s="40">
        <v>1</v>
      </c>
      <c r="M10" s="40">
        <v>1</v>
      </c>
      <c r="N10" s="40">
        <v>1</v>
      </c>
      <c r="O10" s="40">
        <v>1</v>
      </c>
      <c r="P10" s="40">
        <v>1</v>
      </c>
      <c r="Q10" s="38" t="s">
        <v>24</v>
      </c>
      <c r="R10" s="39" t="s">
        <v>71</v>
      </c>
      <c r="S10" s="41" t="s">
        <v>26</v>
      </c>
    </row>
    <row r="11" spans="1:19" ht="20.100000000000001" customHeight="1" x14ac:dyDescent="0.25">
      <c r="A11" s="37" t="s">
        <v>72</v>
      </c>
      <c r="B11" s="38" t="s">
        <v>73</v>
      </c>
      <c r="C11" s="39" t="s">
        <v>74</v>
      </c>
      <c r="D11" s="53" t="s">
        <v>75</v>
      </c>
      <c r="E11" s="38">
        <v>5.4945000000000001E-2</v>
      </c>
      <c r="F11" s="38"/>
      <c r="G11" s="39" t="s">
        <v>76</v>
      </c>
      <c r="H11" s="39" t="s">
        <v>76</v>
      </c>
      <c r="I11" s="40">
        <v>5.4945000000000001E-2</v>
      </c>
      <c r="J11" s="40">
        <v>5.4945000000000001E-2</v>
      </c>
      <c r="K11" s="40">
        <v>5.4945000000000001E-2</v>
      </c>
      <c r="L11" s="40">
        <v>5.4945000000000001E-2</v>
      </c>
      <c r="M11" s="40">
        <v>5.4945000000000001E-2</v>
      </c>
      <c r="N11" s="40">
        <v>5.4945000000000001E-2</v>
      </c>
      <c r="O11" s="40">
        <v>5.4945000000000001E-2</v>
      </c>
      <c r="P11" s="40">
        <v>5.4945000000000001E-2</v>
      </c>
      <c r="Q11" s="38" t="s">
        <v>24</v>
      </c>
      <c r="R11" s="39" t="s">
        <v>77</v>
      </c>
      <c r="S11" s="41" t="s">
        <v>26</v>
      </c>
    </row>
    <row r="12" spans="1:19" ht="20.100000000000001" customHeight="1" x14ac:dyDescent="0.25">
      <c r="A12" s="37" t="s">
        <v>78</v>
      </c>
      <c r="B12" s="38" t="s">
        <v>79</v>
      </c>
      <c r="C12" s="39" t="s">
        <v>80</v>
      </c>
      <c r="D12" s="50" t="s">
        <v>81</v>
      </c>
      <c r="E12" s="38">
        <v>1</v>
      </c>
      <c r="F12" s="38"/>
      <c r="G12" s="39" t="s">
        <v>82</v>
      </c>
      <c r="H12" s="39" t="s">
        <v>82</v>
      </c>
      <c r="I12" s="40">
        <v>1</v>
      </c>
      <c r="J12" s="40">
        <v>1</v>
      </c>
      <c r="K12" s="40">
        <v>1</v>
      </c>
      <c r="L12" s="40">
        <v>1</v>
      </c>
      <c r="M12" s="40">
        <v>1</v>
      </c>
      <c r="N12" s="40">
        <v>1</v>
      </c>
      <c r="O12" s="40">
        <v>1</v>
      </c>
      <c r="P12" s="40">
        <v>1</v>
      </c>
      <c r="Q12" s="38" t="s">
        <v>24</v>
      </c>
      <c r="R12" s="39" t="s">
        <v>83</v>
      </c>
      <c r="S12" s="41" t="s">
        <v>26</v>
      </c>
    </row>
    <row r="13" spans="1:19" ht="20.100000000000001" customHeight="1" x14ac:dyDescent="0.25">
      <c r="A13" s="37" t="s">
        <v>84</v>
      </c>
      <c r="B13" s="38" t="s">
        <v>85</v>
      </c>
      <c r="C13" s="39" t="s">
        <v>86</v>
      </c>
      <c r="D13" s="51" t="s">
        <v>87</v>
      </c>
      <c r="E13" s="38">
        <v>5000</v>
      </c>
      <c r="F13" s="38" t="s">
        <v>35</v>
      </c>
      <c r="G13" s="39" t="s">
        <v>36</v>
      </c>
      <c r="H13" s="39" t="s">
        <v>37</v>
      </c>
      <c r="I13" s="40">
        <v>7200</v>
      </c>
      <c r="J13" s="40">
        <v>7688</v>
      </c>
      <c r="K13" s="40">
        <v>7938</v>
      </c>
      <c r="L13" s="40">
        <v>8192</v>
      </c>
      <c r="M13" s="40">
        <v>20000</v>
      </c>
      <c r="N13" s="40">
        <v>20808</v>
      </c>
      <c r="O13" s="40">
        <v>21218</v>
      </c>
      <c r="P13" s="40">
        <v>21632</v>
      </c>
      <c r="Q13" s="38" t="s">
        <v>24</v>
      </c>
      <c r="R13" s="39" t="s">
        <v>88</v>
      </c>
      <c r="S13" s="41" t="s">
        <v>26</v>
      </c>
    </row>
    <row r="14" spans="1:19" ht="30" customHeight="1" x14ac:dyDescent="0.25">
      <c r="A14" s="37" t="s">
        <v>89</v>
      </c>
      <c r="B14" s="38" t="s">
        <v>90</v>
      </c>
      <c r="C14" s="39" t="s">
        <v>91</v>
      </c>
      <c r="D14" s="52" t="s">
        <v>92</v>
      </c>
      <c r="E14" s="38">
        <v>1</v>
      </c>
      <c r="F14" s="38" t="s">
        <v>93</v>
      </c>
      <c r="G14" s="39" t="s">
        <v>94</v>
      </c>
      <c r="H14" s="39" t="s">
        <v>94</v>
      </c>
      <c r="I14" s="40">
        <v>0.95</v>
      </c>
      <c r="J14" s="40">
        <v>0.94</v>
      </c>
      <c r="K14" s="40">
        <v>0.93500000000000005</v>
      </c>
      <c r="L14" s="40">
        <v>0.93</v>
      </c>
      <c r="M14" s="40">
        <v>0.75</v>
      </c>
      <c r="N14" s="40">
        <v>0.74</v>
      </c>
      <c r="O14" s="40">
        <v>0.73499999999999999</v>
      </c>
      <c r="P14" s="40">
        <v>0.73</v>
      </c>
      <c r="Q14" s="38" t="s">
        <v>24</v>
      </c>
      <c r="R14" s="39" t="s">
        <v>95</v>
      </c>
      <c r="S14" s="41" t="s">
        <v>26</v>
      </c>
    </row>
    <row r="15" spans="1:19" ht="20.100000000000001" customHeight="1" x14ac:dyDescent="0.25">
      <c r="A15" s="37" t="s">
        <v>94</v>
      </c>
      <c r="B15" s="38" t="s">
        <v>96</v>
      </c>
      <c r="C15" s="39" t="s">
        <v>97</v>
      </c>
      <c r="D15" s="52" t="s">
        <v>98</v>
      </c>
      <c r="E15" s="38">
        <v>0</v>
      </c>
      <c r="F15" s="38" t="s">
        <v>93</v>
      </c>
      <c r="G15" s="39"/>
      <c r="H15" s="39"/>
      <c r="I15" s="40">
        <v>0.05</v>
      </c>
      <c r="J15" s="40">
        <v>0.06</v>
      </c>
      <c r="K15" s="40">
        <v>6.5000000000000002E-2</v>
      </c>
      <c r="L15" s="40">
        <v>7.0000000000000007E-2</v>
      </c>
      <c r="M15" s="40">
        <v>0.25</v>
      </c>
      <c r="N15" s="40">
        <v>0.26</v>
      </c>
      <c r="O15" s="40">
        <v>0.26500000000000001</v>
      </c>
      <c r="P15" s="40">
        <v>0.27</v>
      </c>
      <c r="Q15" s="38" t="s">
        <v>24</v>
      </c>
      <c r="R15" s="39" t="s">
        <v>99</v>
      </c>
      <c r="S15" s="41" t="s">
        <v>26</v>
      </c>
    </row>
    <row r="16" spans="1:19" ht="20.100000000000001" customHeight="1" x14ac:dyDescent="0.25">
      <c r="A16" s="37" t="s">
        <v>100</v>
      </c>
      <c r="B16" s="38" t="s">
        <v>101</v>
      </c>
      <c r="C16" s="39" t="s">
        <v>102</v>
      </c>
      <c r="D16" s="52" t="s">
        <v>103</v>
      </c>
      <c r="E16" s="38">
        <v>5</v>
      </c>
      <c r="F16" s="38" t="s">
        <v>104</v>
      </c>
      <c r="G16" s="39"/>
      <c r="H16" s="39"/>
      <c r="I16" s="40">
        <v>12.5</v>
      </c>
      <c r="J16" s="40">
        <v>14</v>
      </c>
      <c r="K16" s="40">
        <v>14.75</v>
      </c>
      <c r="L16" s="40">
        <v>15.5</v>
      </c>
      <c r="M16" s="40">
        <v>42.5</v>
      </c>
      <c r="N16" s="40">
        <v>44</v>
      </c>
      <c r="O16" s="40">
        <v>44.75</v>
      </c>
      <c r="P16" s="40">
        <v>45.5</v>
      </c>
      <c r="Q16" s="38" t="s">
        <v>24</v>
      </c>
      <c r="R16" s="39" t="s">
        <v>105</v>
      </c>
      <c r="S16" s="41" t="s">
        <v>26</v>
      </c>
    </row>
    <row r="17" spans="1:19" ht="20.100000000000001" customHeight="1" x14ac:dyDescent="0.25">
      <c r="A17" s="37" t="s">
        <v>106</v>
      </c>
      <c r="B17" s="38" t="s">
        <v>107</v>
      </c>
      <c r="C17" s="39" t="s">
        <v>108</v>
      </c>
      <c r="D17" s="51" t="s">
        <v>109</v>
      </c>
      <c r="E17" s="38">
        <v>100</v>
      </c>
      <c r="F17" s="38"/>
      <c r="G17" s="39"/>
      <c r="H17" s="39"/>
      <c r="I17" s="40">
        <v>100</v>
      </c>
      <c r="J17" s="40">
        <v>100</v>
      </c>
      <c r="K17" s="40">
        <v>100</v>
      </c>
      <c r="L17" s="40">
        <v>100</v>
      </c>
      <c r="M17" s="40">
        <v>100</v>
      </c>
      <c r="N17" s="40">
        <v>100</v>
      </c>
      <c r="O17" s="40">
        <v>100</v>
      </c>
      <c r="P17" s="40">
        <v>100</v>
      </c>
      <c r="Q17" s="38" t="s">
        <v>24</v>
      </c>
      <c r="R17" s="39" t="s">
        <v>109</v>
      </c>
      <c r="S17" s="41" t="s">
        <v>26</v>
      </c>
    </row>
    <row r="18" spans="1:19" ht="20.100000000000001" customHeight="1" x14ac:dyDescent="0.25">
      <c r="A18" s="37" t="s">
        <v>110</v>
      </c>
      <c r="B18" s="38" t="s">
        <v>111</v>
      </c>
      <c r="C18" s="39" t="s">
        <v>112</v>
      </c>
      <c r="D18" s="50" t="s">
        <v>113</v>
      </c>
      <c r="E18" s="38">
        <v>1</v>
      </c>
      <c r="F18" s="38"/>
      <c r="G18" s="39" t="s">
        <v>114</v>
      </c>
      <c r="H18" s="39" t="s">
        <v>114</v>
      </c>
      <c r="I18" s="40">
        <v>1</v>
      </c>
      <c r="J18" s="40">
        <v>1</v>
      </c>
      <c r="K18" s="40">
        <v>1</v>
      </c>
      <c r="L18" s="40">
        <v>1</v>
      </c>
      <c r="M18" s="40">
        <v>1</v>
      </c>
      <c r="N18" s="40">
        <v>1</v>
      </c>
      <c r="O18" s="40">
        <v>1</v>
      </c>
      <c r="P18" s="40">
        <v>1</v>
      </c>
      <c r="Q18" s="38" t="s">
        <v>24</v>
      </c>
      <c r="R18" s="39" t="s">
        <v>115</v>
      </c>
      <c r="S18" s="41" t="s">
        <v>26</v>
      </c>
    </row>
    <row r="19" spans="1:19" ht="20.100000000000001" customHeight="1" x14ac:dyDescent="0.25">
      <c r="A19" s="37" t="s">
        <v>116</v>
      </c>
      <c r="B19" s="38" t="s">
        <v>117</v>
      </c>
      <c r="C19" s="39" t="s">
        <v>118</v>
      </c>
      <c r="D19" s="52" t="s">
        <v>119</v>
      </c>
      <c r="E19" s="38">
        <v>0</v>
      </c>
      <c r="F19" s="38" t="s">
        <v>43</v>
      </c>
      <c r="G19" s="39"/>
      <c r="H19" s="39"/>
      <c r="I19" s="40">
        <v>0.3</v>
      </c>
      <c r="J19" s="40">
        <v>0.36</v>
      </c>
      <c r="K19" s="40">
        <v>0.39</v>
      </c>
      <c r="L19" s="40">
        <v>0.42</v>
      </c>
      <c r="M19" s="40">
        <v>1.5</v>
      </c>
      <c r="N19" s="40">
        <v>1.56</v>
      </c>
      <c r="O19" s="40">
        <v>1.59</v>
      </c>
      <c r="P19" s="40">
        <v>1.62</v>
      </c>
      <c r="Q19" s="38" t="s">
        <v>24</v>
      </c>
      <c r="R19" s="39" t="s">
        <v>120</v>
      </c>
      <c r="S19" s="41" t="s">
        <v>26</v>
      </c>
    </row>
    <row r="20" spans="1:19" ht="20.100000000000001" customHeight="1" x14ac:dyDescent="0.25">
      <c r="A20" s="37" t="s">
        <v>121</v>
      </c>
      <c r="B20" s="38" t="s">
        <v>122</v>
      </c>
      <c r="C20" s="39" t="s">
        <v>123</v>
      </c>
      <c r="D20" s="50" t="s">
        <v>124</v>
      </c>
      <c r="E20" s="38">
        <v>1</v>
      </c>
      <c r="F20" s="38"/>
      <c r="G20" s="39" t="s">
        <v>125</v>
      </c>
      <c r="H20" s="39" t="s">
        <v>125</v>
      </c>
      <c r="I20" s="40">
        <v>1</v>
      </c>
      <c r="J20" s="40">
        <v>1</v>
      </c>
      <c r="K20" s="40">
        <v>1</v>
      </c>
      <c r="L20" s="40">
        <v>1</v>
      </c>
      <c r="M20" s="40">
        <v>1</v>
      </c>
      <c r="N20" s="40">
        <v>1</v>
      </c>
      <c r="O20" s="40">
        <v>1</v>
      </c>
      <c r="P20" s="40">
        <v>1</v>
      </c>
      <c r="Q20" s="38" t="s">
        <v>24</v>
      </c>
      <c r="R20" s="39" t="s">
        <v>126</v>
      </c>
      <c r="S20" s="41" t="s">
        <v>26</v>
      </c>
    </row>
    <row r="21" spans="1:19" ht="20.100000000000001" customHeight="1" x14ac:dyDescent="0.25">
      <c r="A21" s="37" t="s">
        <v>127</v>
      </c>
      <c r="B21" s="38" t="s">
        <v>128</v>
      </c>
      <c r="C21" s="39" t="s">
        <v>129</v>
      </c>
      <c r="D21" s="51" t="s">
        <v>130</v>
      </c>
      <c r="E21" s="38">
        <v>20</v>
      </c>
      <c r="F21" s="38"/>
      <c r="G21" s="39"/>
      <c r="H21" s="39"/>
      <c r="I21" s="40">
        <v>20</v>
      </c>
      <c r="J21" s="40">
        <v>20</v>
      </c>
      <c r="K21" s="40">
        <v>20</v>
      </c>
      <c r="L21" s="40">
        <v>20</v>
      </c>
      <c r="M21" s="40">
        <v>20</v>
      </c>
      <c r="N21" s="40">
        <v>20</v>
      </c>
      <c r="O21" s="40">
        <v>20</v>
      </c>
      <c r="P21" s="40">
        <v>20</v>
      </c>
      <c r="Q21" s="38" t="s">
        <v>24</v>
      </c>
      <c r="R21" s="39" t="s">
        <v>130</v>
      </c>
      <c r="S21" s="41" t="s">
        <v>26</v>
      </c>
    </row>
    <row r="22" spans="1:19" ht="20.100000000000001" customHeight="1" x14ac:dyDescent="0.25">
      <c r="A22" s="37" t="s">
        <v>131</v>
      </c>
      <c r="B22" s="38" t="s">
        <v>132</v>
      </c>
      <c r="C22" s="39" t="s">
        <v>133</v>
      </c>
      <c r="D22" s="52" t="s">
        <v>134</v>
      </c>
      <c r="E22" s="38">
        <v>1</v>
      </c>
      <c r="F22" s="38" t="s">
        <v>61</v>
      </c>
      <c r="G22" s="39"/>
      <c r="H22" s="39"/>
      <c r="I22" s="40">
        <v>1.1000000000000001</v>
      </c>
      <c r="J22" s="40">
        <v>1.1200000000000001</v>
      </c>
      <c r="K22" s="40">
        <v>1.1299999999999999</v>
      </c>
      <c r="L22" s="40">
        <v>1.1399999999999999</v>
      </c>
      <c r="M22" s="40">
        <v>1.5</v>
      </c>
      <c r="N22" s="40">
        <v>1.52</v>
      </c>
      <c r="O22" s="40">
        <v>1.53</v>
      </c>
      <c r="P22" s="40">
        <v>1.54</v>
      </c>
      <c r="Q22" s="38" t="s">
        <v>24</v>
      </c>
      <c r="R22" s="39" t="s">
        <v>135</v>
      </c>
      <c r="S22" s="41" t="s">
        <v>26</v>
      </c>
    </row>
    <row r="23" spans="1:19" ht="30" customHeight="1" x14ac:dyDescent="0.25">
      <c r="A23" s="37" t="s">
        <v>136</v>
      </c>
      <c r="B23" s="38" t="s">
        <v>137</v>
      </c>
      <c r="C23" s="39" t="s">
        <v>138</v>
      </c>
      <c r="D23" s="53" t="s">
        <v>139</v>
      </c>
      <c r="E23" s="38">
        <v>33.333333000000003</v>
      </c>
      <c r="F23" s="38" t="s">
        <v>35</v>
      </c>
      <c r="G23" s="39" t="s">
        <v>136</v>
      </c>
      <c r="H23" s="39" t="s">
        <v>140</v>
      </c>
      <c r="I23" s="40">
        <v>57.6</v>
      </c>
      <c r="J23" s="40">
        <v>63.554133</v>
      </c>
      <c r="K23" s="40">
        <v>66.679199999999994</v>
      </c>
      <c r="L23" s="40">
        <v>69.905067000000003</v>
      </c>
      <c r="M23" s="40">
        <v>266.66666700000002</v>
      </c>
      <c r="N23" s="40">
        <v>282.98880000000003</v>
      </c>
      <c r="O23" s="40">
        <v>291.393867</v>
      </c>
      <c r="P23" s="40">
        <v>299.96373299999999</v>
      </c>
      <c r="Q23" s="38" t="s">
        <v>24</v>
      </c>
      <c r="R23" s="39" t="s">
        <v>141</v>
      </c>
      <c r="S23" s="41" t="s">
        <v>26</v>
      </c>
    </row>
    <row r="24" spans="1:19" ht="30" customHeight="1" x14ac:dyDescent="0.25">
      <c r="A24" s="37" t="s">
        <v>136</v>
      </c>
      <c r="B24" s="38" t="s">
        <v>139</v>
      </c>
      <c r="C24" s="39" t="s">
        <v>142</v>
      </c>
      <c r="D24" s="52" t="s">
        <v>143</v>
      </c>
      <c r="E24" s="38">
        <v>33.333333000000003</v>
      </c>
      <c r="F24" s="38" t="s">
        <v>35</v>
      </c>
      <c r="G24" s="39" t="s">
        <v>144</v>
      </c>
      <c r="H24" s="39" t="s">
        <v>145</v>
      </c>
      <c r="I24" s="40">
        <v>57.6</v>
      </c>
      <c r="J24" s="40">
        <v>63.554133</v>
      </c>
      <c r="K24" s="40">
        <v>66.679199999999994</v>
      </c>
      <c r="L24" s="40">
        <v>69.905067000000003</v>
      </c>
      <c r="M24" s="40">
        <v>266.66666700000002</v>
      </c>
      <c r="N24" s="40">
        <v>282.98880000000003</v>
      </c>
      <c r="O24" s="40">
        <v>291.393867</v>
      </c>
      <c r="P24" s="40">
        <v>299.96373299999999</v>
      </c>
      <c r="Q24" s="38" t="s">
        <v>24</v>
      </c>
      <c r="R24" s="39" t="s">
        <v>146</v>
      </c>
      <c r="S24" s="41" t="s">
        <v>26</v>
      </c>
    </row>
    <row r="25" spans="1:19" ht="20.100000000000001" customHeight="1" x14ac:dyDescent="0.25">
      <c r="A25" s="37" t="s">
        <v>147</v>
      </c>
      <c r="B25" s="38" t="s">
        <v>148</v>
      </c>
      <c r="C25" s="39" t="s">
        <v>149</v>
      </c>
      <c r="D25" s="52" t="s">
        <v>150</v>
      </c>
      <c r="E25" s="38">
        <v>0</v>
      </c>
      <c r="F25" s="38" t="s">
        <v>35</v>
      </c>
      <c r="G25" s="39"/>
      <c r="H25" s="39"/>
      <c r="I25" s="40">
        <v>0.2</v>
      </c>
      <c r="J25" s="40">
        <v>0.24</v>
      </c>
      <c r="K25" s="40">
        <v>0.26</v>
      </c>
      <c r="L25" s="40">
        <v>0.28000000000000003</v>
      </c>
      <c r="M25" s="40">
        <v>1</v>
      </c>
      <c r="N25" s="40">
        <v>1.04</v>
      </c>
      <c r="O25" s="40">
        <v>1.06</v>
      </c>
      <c r="P25" s="40">
        <v>1.08</v>
      </c>
      <c r="Q25" s="38" t="s">
        <v>24</v>
      </c>
      <c r="R25" s="39" t="s">
        <v>151</v>
      </c>
      <c r="S25" s="41" t="s">
        <v>26</v>
      </c>
    </row>
    <row r="26" spans="1:19" ht="20.100000000000001" customHeight="1" x14ac:dyDescent="0.25">
      <c r="A26" s="37" t="s">
        <v>152</v>
      </c>
      <c r="B26" s="38" t="s">
        <v>153</v>
      </c>
      <c r="C26" s="39" t="s">
        <v>154</v>
      </c>
      <c r="D26" s="50" t="s">
        <v>155</v>
      </c>
      <c r="E26" s="38">
        <v>1</v>
      </c>
      <c r="F26" s="38"/>
      <c r="G26" s="39" t="s">
        <v>156</v>
      </c>
      <c r="H26" s="39" t="s">
        <v>156</v>
      </c>
      <c r="I26" s="40">
        <v>1</v>
      </c>
      <c r="J26" s="40">
        <v>1</v>
      </c>
      <c r="K26" s="40">
        <v>1</v>
      </c>
      <c r="L26" s="40">
        <v>1</v>
      </c>
      <c r="M26" s="40">
        <v>1</v>
      </c>
      <c r="N26" s="40">
        <v>1</v>
      </c>
      <c r="O26" s="40">
        <v>1</v>
      </c>
      <c r="P26" s="40">
        <v>1</v>
      </c>
      <c r="Q26" s="38" t="s">
        <v>24</v>
      </c>
      <c r="R26" s="39" t="s">
        <v>157</v>
      </c>
      <c r="S26" s="41" t="s">
        <v>26</v>
      </c>
    </row>
    <row r="27" spans="1:19" ht="20.100000000000001" customHeight="1" x14ac:dyDescent="0.25">
      <c r="A27" s="37" t="s">
        <v>158</v>
      </c>
      <c r="B27" s="38" t="s">
        <v>159</v>
      </c>
      <c r="C27" s="39" t="s">
        <v>160</v>
      </c>
      <c r="D27" s="52" t="s">
        <v>161</v>
      </c>
      <c r="E27" s="38">
        <v>1</v>
      </c>
      <c r="F27" s="38"/>
      <c r="G27" s="39" t="s">
        <v>162</v>
      </c>
      <c r="H27" s="39" t="s">
        <v>162</v>
      </c>
      <c r="I27" s="40">
        <v>1</v>
      </c>
      <c r="J27" s="40">
        <v>1</v>
      </c>
      <c r="K27" s="40">
        <v>1</v>
      </c>
      <c r="L27" s="40">
        <v>1</v>
      </c>
      <c r="M27" s="40">
        <v>1</v>
      </c>
      <c r="N27" s="40">
        <v>1</v>
      </c>
      <c r="O27" s="40">
        <v>1</v>
      </c>
      <c r="P27" s="40">
        <v>1</v>
      </c>
      <c r="Q27" s="38" t="s">
        <v>24</v>
      </c>
      <c r="R27" s="39" t="s">
        <v>163</v>
      </c>
      <c r="S27" s="41" t="s">
        <v>26</v>
      </c>
    </row>
    <row r="28" spans="1:19" ht="20.100000000000001" customHeight="1" x14ac:dyDescent="0.25">
      <c r="A28" s="37" t="s">
        <v>164</v>
      </c>
      <c r="B28" s="38" t="s">
        <v>165</v>
      </c>
      <c r="C28" s="39" t="s">
        <v>166</v>
      </c>
      <c r="D28" s="52" t="s">
        <v>167</v>
      </c>
      <c r="E28" s="38">
        <v>0</v>
      </c>
      <c r="F28" s="38" t="s">
        <v>43</v>
      </c>
      <c r="G28" s="39"/>
      <c r="H28" s="39"/>
      <c r="I28" s="40">
        <v>0.2</v>
      </c>
      <c r="J28" s="40">
        <v>0.24</v>
      </c>
      <c r="K28" s="40">
        <v>0.26</v>
      </c>
      <c r="L28" s="40">
        <v>0.28000000000000003</v>
      </c>
      <c r="M28" s="40">
        <v>1</v>
      </c>
      <c r="N28" s="40">
        <v>1.04</v>
      </c>
      <c r="O28" s="40">
        <v>1.06</v>
      </c>
      <c r="P28" s="40">
        <v>1.08</v>
      </c>
      <c r="Q28" s="38" t="s">
        <v>24</v>
      </c>
      <c r="R28" s="39" t="s">
        <v>168</v>
      </c>
      <c r="S28" s="41" t="s">
        <v>26</v>
      </c>
    </row>
    <row r="29" spans="1:19" ht="20.100000000000001" customHeight="1" x14ac:dyDescent="0.25">
      <c r="A29" s="37" t="s">
        <v>169</v>
      </c>
      <c r="B29" s="38" t="s">
        <v>170</v>
      </c>
      <c r="C29" s="39" t="s">
        <v>171</v>
      </c>
      <c r="D29" s="52" t="s">
        <v>172</v>
      </c>
      <c r="E29" s="38">
        <v>7500</v>
      </c>
      <c r="F29" s="38" t="s">
        <v>35</v>
      </c>
      <c r="G29" s="39" t="s">
        <v>173</v>
      </c>
      <c r="H29" s="39" t="s">
        <v>174</v>
      </c>
      <c r="I29" s="40">
        <v>10800</v>
      </c>
      <c r="J29" s="40">
        <v>11532</v>
      </c>
      <c r="K29" s="40">
        <v>11907</v>
      </c>
      <c r="L29" s="40">
        <v>12288</v>
      </c>
      <c r="M29" s="40">
        <v>30000</v>
      </c>
      <c r="N29" s="40">
        <v>31212</v>
      </c>
      <c r="O29" s="40">
        <v>31827</v>
      </c>
      <c r="P29" s="40">
        <v>32448</v>
      </c>
      <c r="Q29" s="38" t="s">
        <v>24</v>
      </c>
      <c r="R29" s="39" t="s">
        <v>175</v>
      </c>
      <c r="S29" s="41" t="s">
        <v>26</v>
      </c>
    </row>
    <row r="30" spans="1:19" ht="30" customHeight="1" x14ac:dyDescent="0.25">
      <c r="A30" s="37" t="s">
        <v>36</v>
      </c>
      <c r="B30" s="38" t="s">
        <v>87</v>
      </c>
      <c r="C30" s="39" t="s">
        <v>176</v>
      </c>
      <c r="D30" s="52" t="s">
        <v>177</v>
      </c>
      <c r="E30" s="38">
        <v>5000</v>
      </c>
      <c r="F30" s="38" t="s">
        <v>35</v>
      </c>
      <c r="G30" s="39" t="s">
        <v>178</v>
      </c>
      <c r="H30" s="39" t="s">
        <v>178</v>
      </c>
      <c r="I30" s="40">
        <v>7200</v>
      </c>
      <c r="J30" s="40">
        <v>7688</v>
      </c>
      <c r="K30" s="40">
        <v>7938</v>
      </c>
      <c r="L30" s="40">
        <v>8192</v>
      </c>
      <c r="M30" s="40">
        <v>20000</v>
      </c>
      <c r="N30" s="40">
        <v>20808</v>
      </c>
      <c r="O30" s="40">
        <v>21218</v>
      </c>
      <c r="P30" s="40">
        <v>21632</v>
      </c>
      <c r="Q30" s="38" t="s">
        <v>24</v>
      </c>
      <c r="R30" s="39" t="s">
        <v>179</v>
      </c>
      <c r="S30" s="41" t="s">
        <v>26</v>
      </c>
    </row>
    <row r="31" spans="1:19" ht="30" customHeight="1" x14ac:dyDescent="0.25">
      <c r="A31" s="37" t="s">
        <v>180</v>
      </c>
      <c r="B31" s="38" t="s">
        <v>181</v>
      </c>
      <c r="C31" s="39" t="s">
        <v>182</v>
      </c>
      <c r="D31" s="52" t="s">
        <v>150</v>
      </c>
      <c r="E31" s="38">
        <v>0</v>
      </c>
      <c r="F31" s="38" t="s">
        <v>35</v>
      </c>
      <c r="G31" s="39"/>
      <c r="H31" s="39"/>
      <c r="I31" s="40">
        <v>0.2</v>
      </c>
      <c r="J31" s="40">
        <v>0.24</v>
      </c>
      <c r="K31" s="40">
        <v>0.26</v>
      </c>
      <c r="L31" s="40">
        <v>0.28000000000000003</v>
      </c>
      <c r="M31" s="40">
        <v>1</v>
      </c>
      <c r="N31" s="40">
        <v>1.04</v>
      </c>
      <c r="O31" s="40">
        <v>1.06</v>
      </c>
      <c r="P31" s="40">
        <v>1.08</v>
      </c>
      <c r="Q31" s="38" t="s">
        <v>24</v>
      </c>
      <c r="R31" s="39" t="s">
        <v>151</v>
      </c>
      <c r="S31" s="41" t="s">
        <v>26</v>
      </c>
    </row>
    <row r="32" spans="1:19" ht="20.100000000000001" customHeight="1" x14ac:dyDescent="0.25">
      <c r="A32" s="37" t="s">
        <v>183</v>
      </c>
      <c r="B32" s="38" t="s">
        <v>184</v>
      </c>
      <c r="C32" s="39" t="s">
        <v>185</v>
      </c>
      <c r="D32" s="52" t="s">
        <v>167</v>
      </c>
      <c r="E32" s="38">
        <v>0</v>
      </c>
      <c r="F32" s="38" t="s">
        <v>43</v>
      </c>
      <c r="G32" s="39"/>
      <c r="H32" s="39"/>
      <c r="I32" s="40">
        <v>0.2</v>
      </c>
      <c r="J32" s="40">
        <v>0.24</v>
      </c>
      <c r="K32" s="40">
        <v>0.26</v>
      </c>
      <c r="L32" s="40">
        <v>0.28000000000000003</v>
      </c>
      <c r="M32" s="40">
        <v>1</v>
      </c>
      <c r="N32" s="40">
        <v>1.04</v>
      </c>
      <c r="O32" s="40">
        <v>1.06</v>
      </c>
      <c r="P32" s="40">
        <v>1.08</v>
      </c>
      <c r="Q32" s="38" t="s">
        <v>24</v>
      </c>
      <c r="R32" s="39" t="s">
        <v>168</v>
      </c>
      <c r="S32" s="41" t="s">
        <v>26</v>
      </c>
    </row>
    <row r="33" spans="1:19" ht="20.100000000000001" customHeight="1" x14ac:dyDescent="0.25">
      <c r="A33" s="37" t="s">
        <v>186</v>
      </c>
      <c r="B33" s="38" t="s">
        <v>187</v>
      </c>
      <c r="C33" s="39" t="s">
        <v>188</v>
      </c>
      <c r="D33" s="39" t="s">
        <v>189</v>
      </c>
      <c r="E33" s="38">
        <v>1000</v>
      </c>
      <c r="F33" s="38"/>
      <c r="G33" s="39"/>
      <c r="H33" s="39"/>
      <c r="I33" s="40">
        <v>1000</v>
      </c>
      <c r="J33" s="40">
        <v>1000</v>
      </c>
      <c r="K33" s="40">
        <v>1000</v>
      </c>
      <c r="L33" s="40">
        <v>1000</v>
      </c>
      <c r="M33" s="40">
        <v>1000</v>
      </c>
      <c r="N33" s="40">
        <v>1000</v>
      </c>
      <c r="O33" s="40">
        <v>1000</v>
      </c>
      <c r="P33" s="40">
        <v>1000</v>
      </c>
      <c r="Q33" s="38" t="s">
        <v>24</v>
      </c>
      <c r="R33" s="39" t="s">
        <v>189</v>
      </c>
      <c r="S33" s="41" t="s">
        <v>26</v>
      </c>
    </row>
    <row r="34" spans="1:19" ht="20.100000000000001" customHeight="1" x14ac:dyDescent="0.25">
      <c r="A34" s="37" t="s">
        <v>190</v>
      </c>
      <c r="B34" s="38" t="s">
        <v>191</v>
      </c>
      <c r="C34" s="39" t="s">
        <v>192</v>
      </c>
      <c r="D34" s="39" t="s">
        <v>109</v>
      </c>
      <c r="E34" s="38">
        <v>100</v>
      </c>
      <c r="F34" s="38"/>
      <c r="G34" s="39"/>
      <c r="H34" s="39"/>
      <c r="I34" s="40">
        <v>100</v>
      </c>
      <c r="J34" s="40">
        <v>100</v>
      </c>
      <c r="K34" s="40">
        <v>100</v>
      </c>
      <c r="L34" s="40">
        <v>100</v>
      </c>
      <c r="M34" s="40">
        <v>100</v>
      </c>
      <c r="N34" s="40">
        <v>100</v>
      </c>
      <c r="O34" s="40">
        <v>100</v>
      </c>
      <c r="P34" s="40">
        <v>100</v>
      </c>
      <c r="Q34" s="38" t="s">
        <v>24</v>
      </c>
      <c r="R34" s="39" t="s">
        <v>109</v>
      </c>
      <c r="S34" s="41" t="s">
        <v>26</v>
      </c>
    </row>
    <row r="35" spans="1:19" ht="20.100000000000001" customHeight="1" x14ac:dyDescent="0.25">
      <c r="A35" s="37" t="s">
        <v>193</v>
      </c>
      <c r="B35" s="38" t="s">
        <v>194</v>
      </c>
      <c r="C35" s="39" t="s">
        <v>195</v>
      </c>
      <c r="D35" s="39" t="s">
        <v>109</v>
      </c>
      <c r="E35" s="38">
        <v>100</v>
      </c>
      <c r="F35" s="38"/>
      <c r="G35" s="39"/>
      <c r="H35" s="39"/>
      <c r="I35" s="40">
        <v>100</v>
      </c>
      <c r="J35" s="40">
        <v>100</v>
      </c>
      <c r="K35" s="40">
        <v>100</v>
      </c>
      <c r="L35" s="40">
        <v>100</v>
      </c>
      <c r="M35" s="40">
        <v>100</v>
      </c>
      <c r="N35" s="40">
        <v>100</v>
      </c>
      <c r="O35" s="40">
        <v>100</v>
      </c>
      <c r="P35" s="40">
        <v>100</v>
      </c>
      <c r="Q35" s="38" t="s">
        <v>24</v>
      </c>
      <c r="R35" s="39" t="s">
        <v>109</v>
      </c>
      <c r="S35" s="41" t="s">
        <v>26</v>
      </c>
    </row>
    <row r="36" spans="1:19" ht="30" customHeight="1" x14ac:dyDescent="0.25">
      <c r="A36" s="37" t="s">
        <v>196</v>
      </c>
      <c r="B36" s="38" t="s">
        <v>197</v>
      </c>
      <c r="C36" s="39" t="s">
        <v>198</v>
      </c>
      <c r="D36" s="39" t="s">
        <v>199</v>
      </c>
      <c r="E36" s="38">
        <v>2500</v>
      </c>
      <c r="F36" s="38" t="s">
        <v>35</v>
      </c>
      <c r="G36" s="39" t="s">
        <v>36</v>
      </c>
      <c r="H36" s="39" t="s">
        <v>37</v>
      </c>
      <c r="I36" s="40">
        <v>3600</v>
      </c>
      <c r="J36" s="40">
        <v>3844</v>
      </c>
      <c r="K36" s="40">
        <v>3969</v>
      </c>
      <c r="L36" s="40">
        <v>4096</v>
      </c>
      <c r="M36" s="40">
        <v>10000</v>
      </c>
      <c r="N36" s="40">
        <v>10404</v>
      </c>
      <c r="O36" s="40">
        <v>10609</v>
      </c>
      <c r="P36" s="40">
        <v>10816</v>
      </c>
      <c r="Q36" s="38" t="s">
        <v>24</v>
      </c>
      <c r="R36" s="39" t="s">
        <v>200</v>
      </c>
      <c r="S36" s="41" t="s">
        <v>26</v>
      </c>
    </row>
    <row r="37" spans="1:19" ht="20.100000000000001" customHeight="1" x14ac:dyDescent="0.25">
      <c r="A37" s="37" t="s">
        <v>201</v>
      </c>
      <c r="B37" s="38" t="s">
        <v>202</v>
      </c>
      <c r="C37" s="39" t="s">
        <v>203</v>
      </c>
      <c r="D37" s="39" t="s">
        <v>204</v>
      </c>
      <c r="E37" s="38">
        <v>1</v>
      </c>
      <c r="F37" s="38"/>
      <c r="G37" s="39" t="s">
        <v>205</v>
      </c>
      <c r="H37" s="39" t="s">
        <v>205</v>
      </c>
      <c r="I37" s="40">
        <v>1</v>
      </c>
      <c r="J37" s="40">
        <v>1</v>
      </c>
      <c r="K37" s="40">
        <v>1</v>
      </c>
      <c r="L37" s="40">
        <v>1</v>
      </c>
      <c r="M37" s="40">
        <v>1</v>
      </c>
      <c r="N37" s="40">
        <v>1</v>
      </c>
      <c r="O37" s="40">
        <v>1</v>
      </c>
      <c r="P37" s="40">
        <v>1</v>
      </c>
      <c r="Q37" s="38" t="s">
        <v>24</v>
      </c>
      <c r="R37" s="39" t="s">
        <v>206</v>
      </c>
      <c r="S37" s="41" t="s">
        <v>26</v>
      </c>
    </row>
    <row r="38" spans="1:19" ht="20.100000000000001" customHeight="1" x14ac:dyDescent="0.25">
      <c r="A38" s="37" t="s">
        <v>207</v>
      </c>
      <c r="B38" s="38" t="s">
        <v>208</v>
      </c>
      <c r="C38" s="39" t="s">
        <v>209</v>
      </c>
      <c r="D38" s="39" t="s">
        <v>210</v>
      </c>
      <c r="E38" s="38">
        <v>11</v>
      </c>
      <c r="F38" s="38"/>
      <c r="G38" s="39"/>
      <c r="H38" s="39"/>
      <c r="I38" s="40">
        <v>11</v>
      </c>
      <c r="J38" s="40">
        <v>11</v>
      </c>
      <c r="K38" s="40">
        <v>11</v>
      </c>
      <c r="L38" s="40">
        <v>11</v>
      </c>
      <c r="M38" s="40">
        <v>11</v>
      </c>
      <c r="N38" s="40">
        <v>11</v>
      </c>
      <c r="O38" s="40">
        <v>11</v>
      </c>
      <c r="P38" s="40">
        <v>11</v>
      </c>
      <c r="Q38" s="38" t="s">
        <v>24</v>
      </c>
      <c r="R38" s="39" t="s">
        <v>210</v>
      </c>
      <c r="S38" s="41" t="s">
        <v>26</v>
      </c>
    </row>
    <row r="39" spans="1:19" ht="20.100000000000001" customHeight="1" x14ac:dyDescent="0.25">
      <c r="A39" s="37" t="s">
        <v>211</v>
      </c>
      <c r="B39" s="38" t="s">
        <v>212</v>
      </c>
      <c r="C39" s="39" t="s">
        <v>213</v>
      </c>
      <c r="D39" s="39" t="s">
        <v>214</v>
      </c>
      <c r="E39" s="38">
        <v>1</v>
      </c>
      <c r="F39" s="38" t="s">
        <v>104</v>
      </c>
      <c r="G39" s="39"/>
      <c r="H39" s="39"/>
      <c r="I39" s="40">
        <v>1.1000000000000001</v>
      </c>
      <c r="J39" s="40">
        <v>1.1200000000000001</v>
      </c>
      <c r="K39" s="40">
        <v>1.1299999999999999</v>
      </c>
      <c r="L39" s="40">
        <v>1.1399999999999999</v>
      </c>
      <c r="M39" s="40">
        <v>1.5</v>
      </c>
      <c r="N39" s="40">
        <v>1.52</v>
      </c>
      <c r="O39" s="40">
        <v>1.53</v>
      </c>
      <c r="P39" s="40">
        <v>1.54</v>
      </c>
      <c r="Q39" s="38" t="s">
        <v>24</v>
      </c>
      <c r="R39" s="39" t="s">
        <v>215</v>
      </c>
      <c r="S39" s="41" t="s">
        <v>26</v>
      </c>
    </row>
    <row r="40" spans="1:19" ht="20.100000000000001" customHeight="1" x14ac:dyDescent="0.25">
      <c r="A40" s="37" t="s">
        <v>216</v>
      </c>
      <c r="B40" s="38" t="s">
        <v>217</v>
      </c>
      <c r="C40" s="39" t="s">
        <v>218</v>
      </c>
      <c r="D40" s="39" t="s">
        <v>219</v>
      </c>
      <c r="E40" s="38">
        <v>-5</v>
      </c>
      <c r="F40" s="38"/>
      <c r="G40" s="39"/>
      <c r="H40" s="39"/>
      <c r="I40" s="40">
        <v>-5</v>
      </c>
      <c r="J40" s="40">
        <v>-5</v>
      </c>
      <c r="K40" s="40">
        <v>-5</v>
      </c>
      <c r="L40" s="40">
        <v>-5</v>
      </c>
      <c r="M40" s="40">
        <v>-5</v>
      </c>
      <c r="N40" s="40">
        <v>-5</v>
      </c>
      <c r="O40" s="40">
        <v>-5</v>
      </c>
      <c r="P40" s="40">
        <v>-5</v>
      </c>
      <c r="Q40" s="38" t="s">
        <v>24</v>
      </c>
      <c r="R40" s="39" t="s">
        <v>219</v>
      </c>
      <c r="S40" s="41" t="s">
        <v>26</v>
      </c>
    </row>
    <row r="41" spans="1:19" ht="20.100000000000001" customHeight="1" x14ac:dyDescent="0.25">
      <c r="A41" s="37" t="s">
        <v>220</v>
      </c>
      <c r="B41" s="38" t="s">
        <v>221</v>
      </c>
      <c r="C41" s="39" t="s">
        <v>222</v>
      </c>
      <c r="D41" s="39" t="s">
        <v>223</v>
      </c>
      <c r="E41" s="38">
        <v>0</v>
      </c>
      <c r="F41" s="38" t="s">
        <v>224</v>
      </c>
      <c r="G41" s="39"/>
      <c r="H41" s="39"/>
      <c r="I41" s="40">
        <v>0.05</v>
      </c>
      <c r="J41" s="40">
        <v>0.06</v>
      </c>
      <c r="K41" s="40">
        <v>6.5000000000000002E-2</v>
      </c>
      <c r="L41" s="40">
        <v>7.0000000000000007E-2</v>
      </c>
      <c r="M41" s="40">
        <v>0.25</v>
      </c>
      <c r="N41" s="40">
        <v>0.26</v>
      </c>
      <c r="O41" s="40">
        <v>0.26500000000000001</v>
      </c>
      <c r="P41" s="40">
        <v>0.27</v>
      </c>
      <c r="Q41" s="38" t="s">
        <v>24</v>
      </c>
      <c r="R41" s="39" t="s">
        <v>225</v>
      </c>
      <c r="S41" s="41" t="s">
        <v>26</v>
      </c>
    </row>
    <row r="42" spans="1:19" ht="20.100000000000001" customHeight="1" x14ac:dyDescent="0.25">
      <c r="A42" s="37" t="s">
        <v>226</v>
      </c>
      <c r="B42" s="38" t="s">
        <v>227</v>
      </c>
      <c r="C42" s="39" t="s">
        <v>228</v>
      </c>
      <c r="D42" s="39" t="s">
        <v>229</v>
      </c>
      <c r="E42" s="38">
        <v>1</v>
      </c>
      <c r="F42" s="38" t="s">
        <v>224</v>
      </c>
      <c r="G42" s="39" t="s">
        <v>220</v>
      </c>
      <c r="H42" s="39" t="s">
        <v>220</v>
      </c>
      <c r="I42" s="40">
        <v>0.95</v>
      </c>
      <c r="J42" s="40">
        <v>0.94</v>
      </c>
      <c r="K42" s="40">
        <v>0.93500000000000005</v>
      </c>
      <c r="L42" s="40">
        <v>0.93</v>
      </c>
      <c r="M42" s="40">
        <v>0.75</v>
      </c>
      <c r="N42" s="40">
        <v>0.74</v>
      </c>
      <c r="O42" s="40">
        <v>0.73499999999999999</v>
      </c>
      <c r="P42" s="40">
        <v>0.73</v>
      </c>
      <c r="Q42" s="38" t="s">
        <v>24</v>
      </c>
      <c r="R42" s="39" t="s">
        <v>230</v>
      </c>
      <c r="S42" s="41" t="s">
        <v>26</v>
      </c>
    </row>
    <row r="43" spans="1:19" ht="20.100000000000001" customHeight="1" x14ac:dyDescent="0.25">
      <c r="A43" s="37" t="s">
        <v>231</v>
      </c>
      <c r="B43" s="38" t="s">
        <v>232</v>
      </c>
      <c r="C43" s="39" t="s">
        <v>233</v>
      </c>
      <c r="D43" s="39" t="s">
        <v>234</v>
      </c>
      <c r="E43" s="38">
        <v>10000000</v>
      </c>
      <c r="F43" s="38"/>
      <c r="G43" s="39"/>
      <c r="H43" s="39"/>
      <c r="I43" s="40">
        <v>10000000</v>
      </c>
      <c r="J43" s="40">
        <v>10000000</v>
      </c>
      <c r="K43" s="40">
        <v>10000000</v>
      </c>
      <c r="L43" s="40">
        <v>10000000</v>
      </c>
      <c r="M43" s="40">
        <v>10000000</v>
      </c>
      <c r="N43" s="40">
        <v>10000000</v>
      </c>
      <c r="O43" s="40">
        <v>10000000</v>
      </c>
      <c r="P43" s="40">
        <v>10000000</v>
      </c>
      <c r="Q43" s="38" t="s">
        <v>24</v>
      </c>
      <c r="R43" s="39" t="s">
        <v>234</v>
      </c>
      <c r="S43" s="41" t="s">
        <v>26</v>
      </c>
    </row>
    <row r="44" spans="1:19" ht="20.100000000000001" customHeight="1" x14ac:dyDescent="0.25">
      <c r="A44" s="37" t="s">
        <v>235</v>
      </c>
      <c r="B44" s="38" t="s">
        <v>236</v>
      </c>
      <c r="C44" s="39" t="s">
        <v>237</v>
      </c>
      <c r="D44" s="39" t="s">
        <v>109</v>
      </c>
      <c r="E44" s="38">
        <v>100</v>
      </c>
      <c r="F44" s="38"/>
      <c r="G44" s="39"/>
      <c r="H44" s="39"/>
      <c r="I44" s="40">
        <v>100</v>
      </c>
      <c r="J44" s="40">
        <v>100</v>
      </c>
      <c r="K44" s="40">
        <v>100</v>
      </c>
      <c r="L44" s="40">
        <v>100</v>
      </c>
      <c r="M44" s="40">
        <v>100</v>
      </c>
      <c r="N44" s="40">
        <v>100</v>
      </c>
      <c r="O44" s="40">
        <v>100</v>
      </c>
      <c r="P44" s="40">
        <v>100</v>
      </c>
      <c r="Q44" s="38" t="s">
        <v>24</v>
      </c>
      <c r="R44" s="39" t="s">
        <v>109</v>
      </c>
      <c r="S44" s="41" t="s">
        <v>26</v>
      </c>
    </row>
    <row r="45" spans="1:19" ht="20.100000000000001" customHeight="1" x14ac:dyDescent="0.25">
      <c r="A45" s="37" t="s">
        <v>238</v>
      </c>
      <c r="B45" s="38" t="s">
        <v>239</v>
      </c>
      <c r="C45" s="39" t="s">
        <v>240</v>
      </c>
      <c r="D45" s="39" t="s">
        <v>241</v>
      </c>
      <c r="E45" s="38">
        <v>1</v>
      </c>
      <c r="F45" s="38"/>
      <c r="G45" s="39" t="s">
        <v>242</v>
      </c>
      <c r="H45" s="39" t="s">
        <v>242</v>
      </c>
      <c r="I45" s="40">
        <v>1</v>
      </c>
      <c r="J45" s="40">
        <v>1</v>
      </c>
      <c r="K45" s="40">
        <v>1</v>
      </c>
      <c r="L45" s="40">
        <v>1</v>
      </c>
      <c r="M45" s="40">
        <v>1</v>
      </c>
      <c r="N45" s="40">
        <v>1</v>
      </c>
      <c r="O45" s="40">
        <v>1</v>
      </c>
      <c r="P45" s="40">
        <v>1</v>
      </c>
      <c r="Q45" s="38" t="s">
        <v>24</v>
      </c>
      <c r="R45" s="39" t="s">
        <v>243</v>
      </c>
      <c r="S45" s="41" t="s">
        <v>26</v>
      </c>
    </row>
    <row r="46" spans="1:19" ht="20.100000000000001" customHeight="1" x14ac:dyDescent="0.25">
      <c r="A46" s="37" t="s">
        <v>244</v>
      </c>
      <c r="B46" s="38" t="s">
        <v>245</v>
      </c>
      <c r="C46" s="39" t="s">
        <v>246</v>
      </c>
      <c r="D46" s="39" t="s">
        <v>247</v>
      </c>
      <c r="E46" s="38">
        <v>1</v>
      </c>
      <c r="F46" s="38"/>
      <c r="G46" s="39" t="s">
        <v>248</v>
      </c>
      <c r="H46" s="39" t="s">
        <v>248</v>
      </c>
      <c r="I46" s="40">
        <v>1</v>
      </c>
      <c r="J46" s="40">
        <v>1</v>
      </c>
      <c r="K46" s="40">
        <v>1</v>
      </c>
      <c r="L46" s="40">
        <v>1</v>
      </c>
      <c r="M46" s="40">
        <v>1</v>
      </c>
      <c r="N46" s="40">
        <v>1</v>
      </c>
      <c r="O46" s="40">
        <v>1</v>
      </c>
      <c r="P46" s="40">
        <v>1</v>
      </c>
      <c r="Q46" s="38" t="s">
        <v>24</v>
      </c>
      <c r="R46" s="39" t="s">
        <v>249</v>
      </c>
      <c r="S46" s="41" t="s">
        <v>26</v>
      </c>
    </row>
    <row r="47" spans="1:19" ht="20.100000000000001" customHeight="1" x14ac:dyDescent="0.25">
      <c r="A47" s="37" t="s">
        <v>250</v>
      </c>
      <c r="B47" s="38" t="s">
        <v>251</v>
      </c>
      <c r="C47" s="39" t="s">
        <v>252</v>
      </c>
      <c r="D47" s="39" t="s">
        <v>253</v>
      </c>
      <c r="E47" s="38">
        <v>1</v>
      </c>
      <c r="F47" s="38"/>
      <c r="G47" s="39" t="s">
        <v>254</v>
      </c>
      <c r="H47" s="39" t="s">
        <v>254</v>
      </c>
      <c r="I47" s="40">
        <v>1</v>
      </c>
      <c r="J47" s="40">
        <v>1</v>
      </c>
      <c r="K47" s="40">
        <v>1</v>
      </c>
      <c r="L47" s="40">
        <v>1</v>
      </c>
      <c r="M47" s="40">
        <v>1</v>
      </c>
      <c r="N47" s="40">
        <v>1</v>
      </c>
      <c r="O47" s="40">
        <v>1</v>
      </c>
      <c r="P47" s="40">
        <v>1</v>
      </c>
      <c r="Q47" s="38" t="s">
        <v>24</v>
      </c>
      <c r="R47" s="39" t="s">
        <v>255</v>
      </c>
      <c r="S47" s="41" t="s">
        <v>26</v>
      </c>
    </row>
    <row r="48" spans="1:19" ht="20.100000000000001" customHeight="1" x14ac:dyDescent="0.25">
      <c r="A48" s="37" t="s">
        <v>256</v>
      </c>
      <c r="B48" s="38" t="s">
        <v>257</v>
      </c>
      <c r="C48" s="39" t="s">
        <v>258</v>
      </c>
      <c r="D48" s="39" t="s">
        <v>259</v>
      </c>
      <c r="E48" s="38">
        <v>1</v>
      </c>
      <c r="F48" s="38"/>
      <c r="G48" s="39" t="s">
        <v>260</v>
      </c>
      <c r="H48" s="39" t="s">
        <v>260</v>
      </c>
      <c r="I48" s="40">
        <v>1</v>
      </c>
      <c r="J48" s="40">
        <v>1</v>
      </c>
      <c r="K48" s="40">
        <v>1</v>
      </c>
      <c r="L48" s="40">
        <v>1</v>
      </c>
      <c r="M48" s="40">
        <v>1</v>
      </c>
      <c r="N48" s="40">
        <v>1</v>
      </c>
      <c r="O48" s="40">
        <v>1</v>
      </c>
      <c r="P48" s="40">
        <v>1</v>
      </c>
      <c r="Q48" s="38" t="s">
        <v>24</v>
      </c>
      <c r="R48" s="39" t="s">
        <v>261</v>
      </c>
      <c r="S48" s="41" t="s">
        <v>26</v>
      </c>
    </row>
    <row r="49" spans="1:19" ht="20.100000000000001" customHeight="1" x14ac:dyDescent="0.25">
      <c r="A49" s="37" t="s">
        <v>262</v>
      </c>
      <c r="B49" s="38" t="s">
        <v>263</v>
      </c>
      <c r="C49" s="39" t="s">
        <v>264</v>
      </c>
      <c r="D49" s="39" t="s">
        <v>265</v>
      </c>
      <c r="E49" s="38">
        <v>1</v>
      </c>
      <c r="F49" s="38" t="s">
        <v>266</v>
      </c>
      <c r="G49" s="39"/>
      <c r="H49" s="39"/>
      <c r="I49" s="40">
        <v>1.1000000000000001</v>
      </c>
      <c r="J49" s="40">
        <v>1.1200000000000001</v>
      </c>
      <c r="K49" s="40">
        <v>1.1299999999999999</v>
      </c>
      <c r="L49" s="40">
        <v>1.1399999999999999</v>
      </c>
      <c r="M49" s="40">
        <v>1.5</v>
      </c>
      <c r="N49" s="40">
        <v>1.52</v>
      </c>
      <c r="O49" s="40">
        <v>1.53</v>
      </c>
      <c r="P49" s="40">
        <v>1.54</v>
      </c>
      <c r="Q49" s="38" t="s">
        <v>24</v>
      </c>
      <c r="R49" s="39" t="s">
        <v>267</v>
      </c>
      <c r="S49" s="41" t="s">
        <v>26</v>
      </c>
    </row>
    <row r="50" spans="1:19" ht="20.100000000000001" customHeight="1" x14ac:dyDescent="0.25">
      <c r="A50" s="37" t="s">
        <v>268</v>
      </c>
      <c r="B50" s="38" t="s">
        <v>269</v>
      </c>
      <c r="C50" s="39" t="s">
        <v>270</v>
      </c>
      <c r="D50" s="39" t="s">
        <v>271</v>
      </c>
      <c r="E50" s="38">
        <v>1</v>
      </c>
      <c r="F50" s="38"/>
      <c r="G50" s="39" t="s">
        <v>272</v>
      </c>
      <c r="H50" s="39" t="s">
        <v>272</v>
      </c>
      <c r="I50" s="40">
        <v>1</v>
      </c>
      <c r="J50" s="40">
        <v>1</v>
      </c>
      <c r="K50" s="40">
        <v>1</v>
      </c>
      <c r="L50" s="40">
        <v>1</v>
      </c>
      <c r="M50" s="40">
        <v>1</v>
      </c>
      <c r="N50" s="40">
        <v>1</v>
      </c>
      <c r="O50" s="40">
        <v>1</v>
      </c>
      <c r="P50" s="40">
        <v>1</v>
      </c>
      <c r="Q50" s="38" t="s">
        <v>24</v>
      </c>
      <c r="R50" s="39" t="s">
        <v>273</v>
      </c>
      <c r="S50" s="41" t="s">
        <v>26</v>
      </c>
    </row>
    <row r="51" spans="1:19" ht="20.100000000000001" customHeight="1" x14ac:dyDescent="0.25">
      <c r="A51" s="37" t="s">
        <v>274</v>
      </c>
      <c r="B51" s="38" t="s">
        <v>275</v>
      </c>
      <c r="C51" s="39" t="s">
        <v>276</v>
      </c>
      <c r="D51" s="39" t="s">
        <v>277</v>
      </c>
      <c r="E51" s="38">
        <v>1</v>
      </c>
      <c r="F51" s="38" t="s">
        <v>104</v>
      </c>
      <c r="G51" s="39"/>
      <c r="H51" s="39"/>
      <c r="I51" s="40">
        <v>0.95</v>
      </c>
      <c r="J51" s="40">
        <v>0.94</v>
      </c>
      <c r="K51" s="40">
        <v>0.93500000000000005</v>
      </c>
      <c r="L51" s="40">
        <v>0.93</v>
      </c>
      <c r="M51" s="40">
        <v>0.75</v>
      </c>
      <c r="N51" s="40">
        <v>0.74</v>
      </c>
      <c r="O51" s="40">
        <v>0.73499999999999999</v>
      </c>
      <c r="P51" s="40">
        <v>0.73</v>
      </c>
      <c r="Q51" s="38" t="s">
        <v>24</v>
      </c>
      <c r="R51" s="39" t="s">
        <v>278</v>
      </c>
      <c r="S51" s="41" t="s">
        <v>26</v>
      </c>
    </row>
    <row r="52" spans="1:19" ht="20.100000000000001" customHeight="1" x14ac:dyDescent="0.25">
      <c r="A52" s="37" t="s">
        <v>279</v>
      </c>
      <c r="B52" s="38" t="s">
        <v>280</v>
      </c>
      <c r="C52" s="39" t="s">
        <v>281</v>
      </c>
      <c r="D52" s="39" t="s">
        <v>282</v>
      </c>
      <c r="E52" s="38">
        <v>1</v>
      </c>
      <c r="F52" s="38"/>
      <c r="G52" s="39" t="s">
        <v>283</v>
      </c>
      <c r="H52" s="39" t="s">
        <v>283</v>
      </c>
      <c r="I52" s="40">
        <v>1</v>
      </c>
      <c r="J52" s="40">
        <v>1</v>
      </c>
      <c r="K52" s="40">
        <v>1</v>
      </c>
      <c r="L52" s="40">
        <v>1</v>
      </c>
      <c r="M52" s="40">
        <v>1</v>
      </c>
      <c r="N52" s="40">
        <v>1</v>
      </c>
      <c r="O52" s="40">
        <v>1</v>
      </c>
      <c r="P52" s="40">
        <v>1</v>
      </c>
      <c r="Q52" s="38" t="s">
        <v>24</v>
      </c>
      <c r="R52" s="39" t="s">
        <v>284</v>
      </c>
      <c r="S52" s="41" t="s">
        <v>26</v>
      </c>
    </row>
    <row r="53" spans="1:19" ht="20.100000000000001" customHeight="1" x14ac:dyDescent="0.25">
      <c r="A53" s="37" t="s">
        <v>285</v>
      </c>
      <c r="B53" s="38" t="s">
        <v>286</v>
      </c>
      <c r="C53" s="39" t="s">
        <v>287</v>
      </c>
      <c r="D53" s="39" t="s">
        <v>288</v>
      </c>
      <c r="E53" s="38">
        <v>1</v>
      </c>
      <c r="F53" s="38" t="s">
        <v>289</v>
      </c>
      <c r="G53" s="39"/>
      <c r="H53" s="39"/>
      <c r="I53" s="40">
        <v>1.1000000000000001</v>
      </c>
      <c r="J53" s="40">
        <v>1.1200000000000001</v>
      </c>
      <c r="K53" s="40">
        <v>1.1299999999999999</v>
      </c>
      <c r="L53" s="40">
        <v>1.1399999999999999</v>
      </c>
      <c r="M53" s="40">
        <v>1.5</v>
      </c>
      <c r="N53" s="40">
        <v>1.52</v>
      </c>
      <c r="O53" s="40">
        <v>1.53</v>
      </c>
      <c r="P53" s="40">
        <v>1.54</v>
      </c>
      <c r="Q53" s="38" t="s">
        <v>24</v>
      </c>
      <c r="R53" s="39" t="s">
        <v>290</v>
      </c>
      <c r="S53" s="41" t="s">
        <v>26</v>
      </c>
    </row>
    <row r="54" spans="1:19" ht="20.100000000000001" customHeight="1" x14ac:dyDescent="0.25">
      <c r="A54" s="37" t="s">
        <v>23</v>
      </c>
      <c r="B54" s="38" t="s">
        <v>291</v>
      </c>
      <c r="C54" s="39" t="s">
        <v>292</v>
      </c>
      <c r="D54" s="39" t="s">
        <v>293</v>
      </c>
      <c r="E54" s="38">
        <v>0</v>
      </c>
      <c r="F54" s="38"/>
      <c r="G54" s="39"/>
      <c r="H54" s="39"/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38"/>
      <c r="R54" s="39" t="s">
        <v>293</v>
      </c>
      <c r="S54" s="41" t="s">
        <v>294</v>
      </c>
    </row>
    <row r="55" spans="1:19" ht="20.100000000000001" customHeight="1" x14ac:dyDescent="0.25">
      <c r="A55" s="37" t="s">
        <v>295</v>
      </c>
      <c r="B55" s="38" t="s">
        <v>296</v>
      </c>
      <c r="C55" s="39" t="s">
        <v>297</v>
      </c>
      <c r="D55" s="39" t="s">
        <v>293</v>
      </c>
      <c r="E55" s="38">
        <v>0</v>
      </c>
      <c r="F55" s="38"/>
      <c r="G55" s="39"/>
      <c r="H55" s="39"/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  <c r="Q55" s="38"/>
      <c r="R55" s="39" t="s">
        <v>293</v>
      </c>
      <c r="S55" s="41" t="s">
        <v>294</v>
      </c>
    </row>
    <row r="56" spans="1:19" ht="20.100000000000001" customHeight="1" x14ac:dyDescent="0.25">
      <c r="A56" s="37" t="s">
        <v>298</v>
      </c>
      <c r="B56" s="38" t="s">
        <v>299</v>
      </c>
      <c r="C56" s="39" t="s">
        <v>300</v>
      </c>
      <c r="D56" s="39" t="s">
        <v>301</v>
      </c>
      <c r="E56" s="38">
        <v>0</v>
      </c>
      <c r="F56" s="38" t="s">
        <v>302</v>
      </c>
      <c r="G56" s="39"/>
      <c r="H56" s="39"/>
      <c r="I56" s="40">
        <v>0.02</v>
      </c>
      <c r="J56" s="40">
        <v>2.4E-2</v>
      </c>
      <c r="K56" s="40">
        <v>2.5999999999999999E-2</v>
      </c>
      <c r="L56" s="40">
        <v>2.8000000000000001E-2</v>
      </c>
      <c r="M56" s="40">
        <v>0.1</v>
      </c>
      <c r="N56" s="40">
        <v>0.104</v>
      </c>
      <c r="O56" s="40">
        <v>0.106</v>
      </c>
      <c r="P56" s="40">
        <v>0.108</v>
      </c>
      <c r="Q56" s="38"/>
      <c r="R56" s="39" t="s">
        <v>303</v>
      </c>
      <c r="S56" s="41" t="s">
        <v>294</v>
      </c>
    </row>
    <row r="57" spans="1:19" ht="20.100000000000001" customHeight="1" x14ac:dyDescent="0.25">
      <c r="A57" s="37" t="s">
        <v>304</v>
      </c>
      <c r="B57" s="38" t="s">
        <v>305</v>
      </c>
      <c r="C57" s="39" t="s">
        <v>306</v>
      </c>
      <c r="D57" s="39" t="s">
        <v>307</v>
      </c>
      <c r="E57" s="38">
        <v>0.1</v>
      </c>
      <c r="F57" s="38"/>
      <c r="G57" s="39"/>
      <c r="H57" s="39"/>
      <c r="I57" s="40">
        <v>0.1</v>
      </c>
      <c r="J57" s="40">
        <v>0.1</v>
      </c>
      <c r="K57" s="40">
        <v>0.1</v>
      </c>
      <c r="L57" s="40">
        <v>0.1</v>
      </c>
      <c r="M57" s="40">
        <v>0.1</v>
      </c>
      <c r="N57" s="40">
        <v>0.1</v>
      </c>
      <c r="O57" s="40">
        <v>0.1</v>
      </c>
      <c r="P57" s="40">
        <v>0.1</v>
      </c>
      <c r="Q57" s="38"/>
      <c r="R57" s="39" t="s">
        <v>307</v>
      </c>
      <c r="S57" s="41" t="s">
        <v>294</v>
      </c>
    </row>
    <row r="58" spans="1:19" ht="20.100000000000001" customHeight="1" x14ac:dyDescent="0.25">
      <c r="A58" s="37" t="s">
        <v>308</v>
      </c>
      <c r="B58" s="38" t="s">
        <v>309</v>
      </c>
      <c r="C58" s="39" t="s">
        <v>310</v>
      </c>
      <c r="D58" s="39" t="s">
        <v>307</v>
      </c>
      <c r="E58" s="38">
        <v>0.1</v>
      </c>
      <c r="F58" s="38"/>
      <c r="G58" s="39"/>
      <c r="H58" s="39"/>
      <c r="I58" s="40">
        <v>0.1</v>
      </c>
      <c r="J58" s="40">
        <v>0.1</v>
      </c>
      <c r="K58" s="40">
        <v>0.1</v>
      </c>
      <c r="L58" s="40">
        <v>0.1</v>
      </c>
      <c r="M58" s="40">
        <v>0.1</v>
      </c>
      <c r="N58" s="40">
        <v>0.1</v>
      </c>
      <c r="O58" s="40">
        <v>0.1</v>
      </c>
      <c r="P58" s="40">
        <v>0.1</v>
      </c>
      <c r="Q58" s="38"/>
      <c r="R58" s="39" t="s">
        <v>307</v>
      </c>
      <c r="S58" s="41" t="s">
        <v>294</v>
      </c>
    </row>
    <row r="59" spans="1:19" ht="20.100000000000001" customHeight="1" x14ac:dyDescent="0.25">
      <c r="A59" s="37" t="s">
        <v>311</v>
      </c>
      <c r="B59" s="38" t="s">
        <v>312</v>
      </c>
      <c r="C59" s="39" t="s">
        <v>313</v>
      </c>
      <c r="D59" s="39" t="s">
        <v>314</v>
      </c>
      <c r="E59" s="38">
        <v>4</v>
      </c>
      <c r="F59" s="38" t="s">
        <v>302</v>
      </c>
      <c r="G59" s="39" t="s">
        <v>315</v>
      </c>
      <c r="H59" s="39" t="s">
        <v>315</v>
      </c>
      <c r="I59" s="40">
        <v>3.6</v>
      </c>
      <c r="J59" s="40">
        <v>3.52</v>
      </c>
      <c r="K59" s="40">
        <v>3.48</v>
      </c>
      <c r="L59" s="40">
        <v>3.44</v>
      </c>
      <c r="M59" s="40">
        <v>2</v>
      </c>
      <c r="N59" s="40">
        <v>1.92</v>
      </c>
      <c r="O59" s="40">
        <v>1.88</v>
      </c>
      <c r="P59" s="40">
        <v>1.84</v>
      </c>
      <c r="Q59" s="38"/>
      <c r="R59" s="39" t="s">
        <v>316</v>
      </c>
      <c r="S59" s="41" t="s">
        <v>294</v>
      </c>
    </row>
    <row r="60" spans="1:19" ht="20.100000000000001" customHeight="1" x14ac:dyDescent="0.25">
      <c r="A60" s="37" t="s">
        <v>315</v>
      </c>
      <c r="B60" s="38" t="s">
        <v>317</v>
      </c>
      <c r="C60" s="39" t="s">
        <v>318</v>
      </c>
      <c r="D60" s="39" t="s">
        <v>319</v>
      </c>
      <c r="E60" s="38">
        <v>0</v>
      </c>
      <c r="F60" s="38" t="s">
        <v>302</v>
      </c>
      <c r="G60" s="39"/>
      <c r="H60" s="39"/>
      <c r="I60" s="40">
        <v>0.1</v>
      </c>
      <c r="J60" s="40">
        <v>0.12</v>
      </c>
      <c r="K60" s="40">
        <v>0.13</v>
      </c>
      <c r="L60" s="40">
        <v>0.14000000000000001</v>
      </c>
      <c r="M60" s="40">
        <v>0.5</v>
      </c>
      <c r="N60" s="40">
        <v>0.52</v>
      </c>
      <c r="O60" s="40">
        <v>0.53</v>
      </c>
      <c r="P60" s="40">
        <v>0.54</v>
      </c>
      <c r="Q60" s="38"/>
      <c r="R60" s="39" t="s">
        <v>320</v>
      </c>
      <c r="S60" s="41" t="s">
        <v>294</v>
      </c>
    </row>
    <row r="61" spans="1:19" ht="20.100000000000001" customHeight="1" x14ac:dyDescent="0.25">
      <c r="A61" s="37" t="s">
        <v>321</v>
      </c>
      <c r="B61" s="38" t="s">
        <v>322</v>
      </c>
      <c r="C61" s="39" t="s">
        <v>323</v>
      </c>
      <c r="D61" s="39" t="s">
        <v>324</v>
      </c>
      <c r="E61" s="38">
        <v>0</v>
      </c>
      <c r="F61" s="38" t="s">
        <v>93</v>
      </c>
      <c r="G61" s="39" t="s">
        <v>325</v>
      </c>
      <c r="H61" s="39" t="s">
        <v>325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38"/>
      <c r="R61" s="39" t="s">
        <v>326</v>
      </c>
      <c r="S61" s="41" t="s">
        <v>294</v>
      </c>
    </row>
    <row r="62" spans="1:19" ht="20.100000000000001" customHeight="1" x14ac:dyDescent="0.25">
      <c r="A62" s="37" t="s">
        <v>327</v>
      </c>
      <c r="B62" s="38" t="s">
        <v>328</v>
      </c>
      <c r="C62" s="39" t="s">
        <v>329</v>
      </c>
      <c r="D62" s="39" t="s">
        <v>330</v>
      </c>
      <c r="E62" s="38">
        <v>0</v>
      </c>
      <c r="F62" s="38" t="s">
        <v>93</v>
      </c>
      <c r="G62" s="39"/>
      <c r="H62" s="39"/>
      <c r="I62" s="40">
        <v>0.1</v>
      </c>
      <c r="J62" s="40">
        <v>0.12</v>
      </c>
      <c r="K62" s="40">
        <v>0.13</v>
      </c>
      <c r="L62" s="40">
        <v>0.14000000000000001</v>
      </c>
      <c r="M62" s="40">
        <v>0.5</v>
      </c>
      <c r="N62" s="40">
        <v>0.52</v>
      </c>
      <c r="O62" s="40">
        <v>0.53</v>
      </c>
      <c r="P62" s="40">
        <v>0.54</v>
      </c>
      <c r="Q62" s="38"/>
      <c r="R62" s="39" t="s">
        <v>331</v>
      </c>
      <c r="S62" s="41" t="s">
        <v>294</v>
      </c>
    </row>
    <row r="63" spans="1:19" ht="20.100000000000001" customHeight="1" x14ac:dyDescent="0.25">
      <c r="A63" s="37" t="s">
        <v>70</v>
      </c>
      <c r="B63" s="38" t="s">
        <v>332</v>
      </c>
      <c r="C63" s="39" t="s">
        <v>333</v>
      </c>
      <c r="D63" s="39" t="s">
        <v>293</v>
      </c>
      <c r="E63" s="38">
        <v>0</v>
      </c>
      <c r="F63" s="38"/>
      <c r="G63" s="39"/>
      <c r="H63" s="39"/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38"/>
      <c r="R63" s="39" t="s">
        <v>293</v>
      </c>
      <c r="S63" s="41" t="s">
        <v>294</v>
      </c>
    </row>
    <row r="64" spans="1:19" ht="20.100000000000001" customHeight="1" x14ac:dyDescent="0.25">
      <c r="A64" s="37" t="s">
        <v>334</v>
      </c>
      <c r="B64" s="38" t="s">
        <v>335</v>
      </c>
      <c r="C64" s="39"/>
      <c r="D64" s="39" t="s">
        <v>336</v>
      </c>
      <c r="E64" s="38">
        <v>1</v>
      </c>
      <c r="F64" s="38"/>
      <c r="G64" s="39"/>
      <c r="H64" s="39"/>
      <c r="I64" s="40">
        <v>1</v>
      </c>
      <c r="J64" s="40">
        <v>1</v>
      </c>
      <c r="K64" s="40">
        <v>1</v>
      </c>
      <c r="L64" s="40">
        <v>1</v>
      </c>
      <c r="M64" s="40">
        <v>1</v>
      </c>
      <c r="N64" s="40">
        <v>1</v>
      </c>
      <c r="O64" s="40">
        <v>1</v>
      </c>
      <c r="P64" s="40">
        <v>1</v>
      </c>
      <c r="Q64" s="38"/>
      <c r="R64" s="39" t="s">
        <v>336</v>
      </c>
      <c r="S64" s="41" t="s">
        <v>294</v>
      </c>
    </row>
    <row r="65" spans="1:19" ht="20.100000000000001" customHeight="1" x14ac:dyDescent="0.25">
      <c r="A65" s="37" t="s">
        <v>337</v>
      </c>
      <c r="B65" s="38" t="s">
        <v>338</v>
      </c>
      <c r="C65" s="39" t="s">
        <v>339</v>
      </c>
      <c r="D65" s="39" t="s">
        <v>340</v>
      </c>
      <c r="E65" s="38" t="s">
        <v>341</v>
      </c>
      <c r="F65" s="38" t="s">
        <v>43</v>
      </c>
      <c r="G65" s="39"/>
      <c r="H65" s="39"/>
      <c r="I65" s="40">
        <v>-100</v>
      </c>
      <c r="J65" s="40">
        <v>-83.333332999999996</v>
      </c>
      <c r="K65" s="40">
        <v>-76.923077000000006</v>
      </c>
      <c r="L65" s="40">
        <v>-71.428571000000005</v>
      </c>
      <c r="M65" s="40">
        <v>-20</v>
      </c>
      <c r="N65" s="40">
        <v>-19.230768999999999</v>
      </c>
      <c r="O65" s="40">
        <v>-18.867925</v>
      </c>
      <c r="P65" s="40">
        <v>-18.518519000000001</v>
      </c>
      <c r="Q65" s="38"/>
      <c r="R65" s="39" t="s">
        <v>342</v>
      </c>
      <c r="S65" s="41" t="s">
        <v>294</v>
      </c>
    </row>
    <row r="66" spans="1:19" ht="20.100000000000001" customHeight="1" x14ac:dyDescent="0.25">
      <c r="A66" s="37" t="s">
        <v>343</v>
      </c>
      <c r="B66" s="38" t="s">
        <v>344</v>
      </c>
      <c r="C66" s="39" t="s">
        <v>345</v>
      </c>
      <c r="D66" s="39" t="s">
        <v>346</v>
      </c>
      <c r="E66" s="38">
        <v>1</v>
      </c>
      <c r="F66" s="38" t="s">
        <v>43</v>
      </c>
      <c r="G66" s="39"/>
      <c r="H66" s="39"/>
      <c r="I66" s="40">
        <v>1.05</v>
      </c>
      <c r="J66" s="40">
        <v>1.06</v>
      </c>
      <c r="K66" s="40">
        <v>1.0649999999999999</v>
      </c>
      <c r="L66" s="40">
        <v>1.07</v>
      </c>
      <c r="M66" s="40">
        <v>1.25</v>
      </c>
      <c r="N66" s="40">
        <v>1.26</v>
      </c>
      <c r="O66" s="40">
        <v>1.2649999999999999</v>
      </c>
      <c r="P66" s="40">
        <v>1.27</v>
      </c>
      <c r="Q66" s="38"/>
      <c r="R66" s="39" t="s">
        <v>347</v>
      </c>
      <c r="S66" s="41" t="s">
        <v>294</v>
      </c>
    </row>
    <row r="67" spans="1:19" ht="20.100000000000001" customHeight="1" x14ac:dyDescent="0.25">
      <c r="A67" s="37" t="s">
        <v>348</v>
      </c>
      <c r="B67" s="38" t="s">
        <v>349</v>
      </c>
      <c r="C67" s="39" t="s">
        <v>350</v>
      </c>
      <c r="D67" s="39" t="s">
        <v>351</v>
      </c>
      <c r="E67" s="38">
        <v>1.25</v>
      </c>
      <c r="F67" s="38"/>
      <c r="G67" s="39"/>
      <c r="H67" s="39"/>
      <c r="I67" s="40">
        <v>1.25</v>
      </c>
      <c r="J67" s="40">
        <v>1.25</v>
      </c>
      <c r="K67" s="40">
        <v>1.25</v>
      </c>
      <c r="L67" s="40">
        <v>1.25</v>
      </c>
      <c r="M67" s="40">
        <v>1.25</v>
      </c>
      <c r="N67" s="40">
        <v>1.25</v>
      </c>
      <c r="O67" s="40">
        <v>1.25</v>
      </c>
      <c r="P67" s="40">
        <v>1.25</v>
      </c>
      <c r="Q67" s="38"/>
      <c r="R67" s="39" t="s">
        <v>351</v>
      </c>
      <c r="S67" s="41" t="s">
        <v>294</v>
      </c>
    </row>
    <row r="68" spans="1:19" ht="20.100000000000001" customHeight="1" x14ac:dyDescent="0.25">
      <c r="A68" s="37" t="s">
        <v>76</v>
      </c>
      <c r="B68" s="38" t="s">
        <v>352</v>
      </c>
      <c r="C68" s="39" t="s">
        <v>353</v>
      </c>
      <c r="D68" s="39" t="s">
        <v>30</v>
      </c>
      <c r="E68" s="38">
        <v>10</v>
      </c>
      <c r="F68" s="38"/>
      <c r="G68" s="39"/>
      <c r="H68" s="39"/>
      <c r="I68" s="40">
        <v>10</v>
      </c>
      <c r="J68" s="40">
        <v>10</v>
      </c>
      <c r="K68" s="40">
        <v>10</v>
      </c>
      <c r="L68" s="40">
        <v>10</v>
      </c>
      <c r="M68" s="40">
        <v>10</v>
      </c>
      <c r="N68" s="40">
        <v>10</v>
      </c>
      <c r="O68" s="40">
        <v>10</v>
      </c>
      <c r="P68" s="40">
        <v>10</v>
      </c>
      <c r="Q68" s="38"/>
      <c r="R68" s="39" t="s">
        <v>30</v>
      </c>
      <c r="S68" s="41" t="s">
        <v>294</v>
      </c>
    </row>
    <row r="69" spans="1:19" ht="20.100000000000001" customHeight="1" x14ac:dyDescent="0.25">
      <c r="A69" s="37" t="s">
        <v>82</v>
      </c>
      <c r="B69" s="38" t="s">
        <v>354</v>
      </c>
      <c r="C69" s="39" t="s">
        <v>355</v>
      </c>
      <c r="D69" s="39" t="s">
        <v>293</v>
      </c>
      <c r="E69" s="38">
        <v>0</v>
      </c>
      <c r="F69" s="38"/>
      <c r="G69" s="39"/>
      <c r="H69" s="39"/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38"/>
      <c r="R69" s="39" t="s">
        <v>293</v>
      </c>
      <c r="S69" s="41" t="s">
        <v>294</v>
      </c>
    </row>
    <row r="70" spans="1:19" ht="20.100000000000001" customHeight="1" x14ac:dyDescent="0.25">
      <c r="A70" s="37" t="s">
        <v>356</v>
      </c>
      <c r="B70" s="38" t="s">
        <v>357</v>
      </c>
      <c r="C70" s="39" t="s">
        <v>358</v>
      </c>
      <c r="D70" s="39" t="s">
        <v>359</v>
      </c>
      <c r="E70" s="38">
        <v>0</v>
      </c>
      <c r="F70" s="38" t="s">
        <v>43</v>
      </c>
      <c r="G70" s="39"/>
      <c r="H70" s="39"/>
      <c r="I70" s="40">
        <v>2</v>
      </c>
      <c r="J70" s="40">
        <v>2.4</v>
      </c>
      <c r="K70" s="40">
        <v>2.6</v>
      </c>
      <c r="L70" s="40">
        <v>2.8</v>
      </c>
      <c r="M70" s="40">
        <v>10</v>
      </c>
      <c r="N70" s="40">
        <v>10.4</v>
      </c>
      <c r="O70" s="40">
        <v>10.6</v>
      </c>
      <c r="P70" s="40">
        <v>10.8</v>
      </c>
      <c r="Q70" s="38"/>
      <c r="R70" s="39" t="s">
        <v>360</v>
      </c>
      <c r="S70" s="41" t="s">
        <v>294</v>
      </c>
    </row>
    <row r="71" spans="1:19" ht="20.100000000000001" customHeight="1" x14ac:dyDescent="0.25">
      <c r="A71" s="37" t="s">
        <v>114</v>
      </c>
      <c r="B71" s="38" t="s">
        <v>361</v>
      </c>
      <c r="C71" s="39" t="s">
        <v>362</v>
      </c>
      <c r="D71" s="39" t="s">
        <v>293</v>
      </c>
      <c r="E71" s="38">
        <v>0</v>
      </c>
      <c r="F71" s="38"/>
      <c r="G71" s="39"/>
      <c r="H71" s="39"/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38"/>
      <c r="R71" s="39" t="s">
        <v>293</v>
      </c>
      <c r="S71" s="41" t="s">
        <v>294</v>
      </c>
    </row>
    <row r="72" spans="1:19" ht="20.100000000000001" customHeight="1" x14ac:dyDescent="0.25">
      <c r="A72" s="37" t="s">
        <v>363</v>
      </c>
      <c r="B72" s="38" t="s">
        <v>364</v>
      </c>
      <c r="C72" s="39" t="s">
        <v>365</v>
      </c>
      <c r="D72" s="39" t="s">
        <v>366</v>
      </c>
      <c r="E72" s="38">
        <v>0</v>
      </c>
      <c r="F72" s="38" t="s">
        <v>302</v>
      </c>
      <c r="G72" s="39" t="s">
        <v>367</v>
      </c>
      <c r="H72" s="39" t="s">
        <v>367</v>
      </c>
      <c r="I72" s="40">
        <v>2.1999999999999999E-2</v>
      </c>
      <c r="J72" s="40">
        <v>2.6880000000000001E-2</v>
      </c>
      <c r="K72" s="40">
        <v>2.938E-2</v>
      </c>
      <c r="L72" s="40">
        <v>3.1919999999999997E-2</v>
      </c>
      <c r="M72" s="40">
        <v>0.15</v>
      </c>
      <c r="N72" s="40">
        <v>0.15808</v>
      </c>
      <c r="O72" s="40">
        <v>0.16217999999999999</v>
      </c>
      <c r="P72" s="40">
        <v>0.16632</v>
      </c>
      <c r="Q72" s="38"/>
      <c r="R72" s="39" t="s">
        <v>368</v>
      </c>
      <c r="S72" s="41" t="s">
        <v>294</v>
      </c>
    </row>
    <row r="73" spans="1:19" ht="20.100000000000001" customHeight="1" x14ac:dyDescent="0.25">
      <c r="A73" s="37" t="s">
        <v>369</v>
      </c>
      <c r="B73" s="38" t="s">
        <v>370</v>
      </c>
      <c r="C73" s="39" t="s">
        <v>371</v>
      </c>
      <c r="D73" s="39" t="s">
        <v>319</v>
      </c>
      <c r="E73" s="38">
        <v>0</v>
      </c>
      <c r="F73" s="38" t="s">
        <v>302</v>
      </c>
      <c r="G73" s="39"/>
      <c r="H73" s="39"/>
      <c r="I73" s="40">
        <v>0.1</v>
      </c>
      <c r="J73" s="40">
        <v>0.12</v>
      </c>
      <c r="K73" s="40">
        <v>0.13</v>
      </c>
      <c r="L73" s="40">
        <v>0.14000000000000001</v>
      </c>
      <c r="M73" s="40">
        <v>0.5</v>
      </c>
      <c r="N73" s="40">
        <v>0.52</v>
      </c>
      <c r="O73" s="40">
        <v>0.53</v>
      </c>
      <c r="P73" s="40">
        <v>0.54</v>
      </c>
      <c r="Q73" s="38"/>
      <c r="R73" s="39" t="s">
        <v>320</v>
      </c>
      <c r="S73" s="41" t="s">
        <v>294</v>
      </c>
    </row>
    <row r="74" spans="1:19" ht="20.100000000000001" customHeight="1" x14ac:dyDescent="0.25">
      <c r="A74" s="37" t="s">
        <v>372</v>
      </c>
      <c r="B74" s="38" t="s">
        <v>373</v>
      </c>
      <c r="C74" s="39" t="s">
        <v>374</v>
      </c>
      <c r="D74" s="39" t="s">
        <v>293</v>
      </c>
      <c r="E74" s="38">
        <v>0</v>
      </c>
      <c r="F74" s="38"/>
      <c r="G74" s="39"/>
      <c r="H74" s="39"/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38"/>
      <c r="R74" s="39" t="s">
        <v>293</v>
      </c>
      <c r="S74" s="41" t="s">
        <v>294</v>
      </c>
    </row>
    <row r="75" spans="1:19" ht="20.100000000000001" customHeight="1" x14ac:dyDescent="0.25">
      <c r="A75" s="37" t="s">
        <v>375</v>
      </c>
      <c r="B75" s="38" t="s">
        <v>376</v>
      </c>
      <c r="C75" s="39" t="s">
        <v>377</v>
      </c>
      <c r="D75" s="39" t="s">
        <v>378</v>
      </c>
      <c r="E75" s="38">
        <v>10</v>
      </c>
      <c r="F75" s="38" t="s">
        <v>43</v>
      </c>
      <c r="G75" s="39" t="s">
        <v>379</v>
      </c>
      <c r="H75" s="39" t="s">
        <v>379</v>
      </c>
      <c r="I75" s="40">
        <v>13</v>
      </c>
      <c r="J75" s="40">
        <v>13.6</v>
      </c>
      <c r="K75" s="40">
        <v>13.9</v>
      </c>
      <c r="L75" s="40">
        <v>14.2</v>
      </c>
      <c r="M75" s="40">
        <v>25</v>
      </c>
      <c r="N75" s="40">
        <v>25.6</v>
      </c>
      <c r="O75" s="40">
        <v>25.9</v>
      </c>
      <c r="P75" s="40">
        <v>26.2</v>
      </c>
      <c r="Q75" s="38"/>
      <c r="R75" s="39" t="s">
        <v>380</v>
      </c>
      <c r="S75" s="41" t="s">
        <v>294</v>
      </c>
    </row>
    <row r="76" spans="1:19" ht="20.100000000000001" customHeight="1" x14ac:dyDescent="0.25">
      <c r="A76" s="37" t="s">
        <v>125</v>
      </c>
      <c r="B76" s="38" t="s">
        <v>381</v>
      </c>
      <c r="C76" s="39" t="s">
        <v>382</v>
      </c>
      <c r="D76" s="39" t="s">
        <v>293</v>
      </c>
      <c r="E76" s="38">
        <v>0</v>
      </c>
      <c r="F76" s="38"/>
      <c r="G76" s="39"/>
      <c r="H76" s="39"/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38"/>
      <c r="R76" s="39" t="s">
        <v>293</v>
      </c>
      <c r="S76" s="41" t="s">
        <v>294</v>
      </c>
    </row>
    <row r="77" spans="1:19" ht="20.100000000000001" customHeight="1" x14ac:dyDescent="0.25">
      <c r="A77" s="37" t="s">
        <v>383</v>
      </c>
      <c r="B77" s="38" t="s">
        <v>384</v>
      </c>
      <c r="C77" s="39" t="s">
        <v>385</v>
      </c>
      <c r="D77" s="39" t="s">
        <v>386</v>
      </c>
      <c r="E77" s="38">
        <v>0.1</v>
      </c>
      <c r="F77" s="38" t="s">
        <v>43</v>
      </c>
      <c r="G77" s="39"/>
      <c r="H77" s="39"/>
      <c r="I77" s="40">
        <v>0.15</v>
      </c>
      <c r="J77" s="40">
        <v>0.16</v>
      </c>
      <c r="K77" s="40">
        <v>0.16500000000000001</v>
      </c>
      <c r="L77" s="40">
        <v>0.17</v>
      </c>
      <c r="M77" s="40">
        <v>0.35</v>
      </c>
      <c r="N77" s="40">
        <v>0.36</v>
      </c>
      <c r="O77" s="40">
        <v>0.36499999999999999</v>
      </c>
      <c r="P77" s="40">
        <v>0.37</v>
      </c>
      <c r="Q77" s="38"/>
      <c r="R77" s="39" t="s">
        <v>387</v>
      </c>
      <c r="S77" s="41" t="s">
        <v>294</v>
      </c>
    </row>
    <row r="78" spans="1:19" ht="20.100000000000001" customHeight="1" x14ac:dyDescent="0.25">
      <c r="A78" s="37" t="s">
        <v>388</v>
      </c>
      <c r="B78" s="38" t="s">
        <v>389</v>
      </c>
      <c r="C78" s="39" t="s">
        <v>390</v>
      </c>
      <c r="D78" s="39" t="s">
        <v>98</v>
      </c>
      <c r="E78" s="38">
        <v>0</v>
      </c>
      <c r="F78" s="38" t="s">
        <v>93</v>
      </c>
      <c r="G78" s="39"/>
      <c r="H78" s="39"/>
      <c r="I78" s="40">
        <v>0.05</v>
      </c>
      <c r="J78" s="40">
        <v>0.06</v>
      </c>
      <c r="K78" s="40">
        <v>6.5000000000000002E-2</v>
      </c>
      <c r="L78" s="40">
        <v>7.0000000000000007E-2</v>
      </c>
      <c r="M78" s="40">
        <v>0.25</v>
      </c>
      <c r="N78" s="40">
        <v>0.26</v>
      </c>
      <c r="O78" s="40">
        <v>0.26500000000000001</v>
      </c>
      <c r="P78" s="40">
        <v>0.27</v>
      </c>
      <c r="Q78" s="38"/>
      <c r="R78" s="39" t="s">
        <v>99</v>
      </c>
      <c r="S78" s="41" t="s">
        <v>294</v>
      </c>
    </row>
    <row r="79" spans="1:19" ht="20.100000000000001" customHeight="1" x14ac:dyDescent="0.25">
      <c r="A79" s="37" t="s">
        <v>391</v>
      </c>
      <c r="B79" s="38" t="s">
        <v>392</v>
      </c>
      <c r="C79" s="39" t="s">
        <v>393</v>
      </c>
      <c r="D79" s="39" t="s">
        <v>394</v>
      </c>
      <c r="E79" s="38">
        <v>0.9</v>
      </c>
      <c r="F79" s="38" t="s">
        <v>93</v>
      </c>
      <c r="G79" s="39" t="s">
        <v>395</v>
      </c>
      <c r="H79" s="39" t="s">
        <v>396</v>
      </c>
      <c r="I79" s="40">
        <v>0.89500000000000002</v>
      </c>
      <c r="J79" s="40">
        <v>0.89400000000000002</v>
      </c>
      <c r="K79" s="40">
        <v>0.89349999999999996</v>
      </c>
      <c r="L79" s="40">
        <v>0.89300000000000002</v>
      </c>
      <c r="M79" s="40">
        <v>0.875</v>
      </c>
      <c r="N79" s="40">
        <v>0.874</v>
      </c>
      <c r="O79" s="40">
        <v>0.87350000000000005</v>
      </c>
      <c r="P79" s="40">
        <v>0.873</v>
      </c>
      <c r="Q79" s="38"/>
      <c r="R79" s="39" t="s">
        <v>397</v>
      </c>
      <c r="S79" s="41" t="s">
        <v>294</v>
      </c>
    </row>
    <row r="80" spans="1:19" ht="20.100000000000001" customHeight="1" x14ac:dyDescent="0.25">
      <c r="A80" s="37" t="s">
        <v>398</v>
      </c>
      <c r="B80" s="38" t="s">
        <v>399</v>
      </c>
      <c r="C80" s="39" t="s">
        <v>400</v>
      </c>
      <c r="D80" s="39" t="s">
        <v>401</v>
      </c>
      <c r="E80" s="38">
        <v>0.1</v>
      </c>
      <c r="F80" s="38" t="s">
        <v>93</v>
      </c>
      <c r="G80" s="39" t="s">
        <v>402</v>
      </c>
      <c r="H80" s="39" t="s">
        <v>402</v>
      </c>
      <c r="I80" s="40">
        <v>0.11</v>
      </c>
      <c r="J80" s="40">
        <v>0.112</v>
      </c>
      <c r="K80" s="40">
        <v>0.113</v>
      </c>
      <c r="L80" s="40">
        <v>0.114</v>
      </c>
      <c r="M80" s="40">
        <v>0.15</v>
      </c>
      <c r="N80" s="40">
        <v>0.152</v>
      </c>
      <c r="O80" s="40">
        <v>0.153</v>
      </c>
      <c r="P80" s="40">
        <v>0.154</v>
      </c>
      <c r="Q80" s="38"/>
      <c r="R80" s="39" t="s">
        <v>403</v>
      </c>
      <c r="S80" s="41" t="s">
        <v>294</v>
      </c>
    </row>
    <row r="81" spans="1:19" ht="20.100000000000001" customHeight="1" x14ac:dyDescent="0.25">
      <c r="A81" s="37" t="s">
        <v>404</v>
      </c>
      <c r="B81" s="38" t="s">
        <v>405</v>
      </c>
      <c r="C81" s="39" t="s">
        <v>406</v>
      </c>
      <c r="D81" s="39" t="s">
        <v>330</v>
      </c>
      <c r="E81" s="38">
        <v>0</v>
      </c>
      <c r="F81" s="38" t="s">
        <v>93</v>
      </c>
      <c r="G81" s="39"/>
      <c r="H81" s="39"/>
      <c r="I81" s="40">
        <v>0.1</v>
      </c>
      <c r="J81" s="40">
        <v>0.12</v>
      </c>
      <c r="K81" s="40">
        <v>0.13</v>
      </c>
      <c r="L81" s="40">
        <v>0.14000000000000001</v>
      </c>
      <c r="M81" s="40">
        <v>0.5</v>
      </c>
      <c r="N81" s="40">
        <v>0.52</v>
      </c>
      <c r="O81" s="40">
        <v>0.53</v>
      </c>
      <c r="P81" s="40">
        <v>0.54</v>
      </c>
      <c r="Q81" s="38"/>
      <c r="R81" s="39" t="s">
        <v>331</v>
      </c>
      <c r="S81" s="41" t="s">
        <v>294</v>
      </c>
    </row>
    <row r="82" spans="1:19" ht="20.100000000000001" customHeight="1" x14ac:dyDescent="0.25">
      <c r="A82" s="37" t="s">
        <v>395</v>
      </c>
      <c r="B82" s="38" t="s">
        <v>407</v>
      </c>
      <c r="C82" s="39" t="s">
        <v>408</v>
      </c>
      <c r="D82" s="39" t="s">
        <v>409</v>
      </c>
      <c r="E82" s="38">
        <v>0.1</v>
      </c>
      <c r="F82" s="38" t="s">
        <v>93</v>
      </c>
      <c r="G82" s="39" t="s">
        <v>410</v>
      </c>
      <c r="H82" s="39" t="s">
        <v>410</v>
      </c>
      <c r="I82" s="40">
        <v>0.105</v>
      </c>
      <c r="J82" s="40">
        <v>0.106</v>
      </c>
      <c r="K82" s="40">
        <v>0.1065</v>
      </c>
      <c r="L82" s="40">
        <v>0.107</v>
      </c>
      <c r="M82" s="40">
        <v>0.125</v>
      </c>
      <c r="N82" s="40">
        <v>0.126</v>
      </c>
      <c r="O82" s="40">
        <v>0.1265</v>
      </c>
      <c r="P82" s="40">
        <v>0.127</v>
      </c>
      <c r="Q82" s="38"/>
      <c r="R82" s="39" t="s">
        <v>411</v>
      </c>
      <c r="S82" s="41" t="s">
        <v>294</v>
      </c>
    </row>
    <row r="83" spans="1:19" ht="20.100000000000001" customHeight="1" x14ac:dyDescent="0.25">
      <c r="A83" s="37" t="s">
        <v>412</v>
      </c>
      <c r="B83" s="38" t="s">
        <v>413</v>
      </c>
      <c r="C83" s="39" t="s">
        <v>414</v>
      </c>
      <c r="D83" s="39" t="s">
        <v>415</v>
      </c>
      <c r="E83" s="38" t="s">
        <v>341</v>
      </c>
      <c r="F83" s="38" t="s">
        <v>43</v>
      </c>
      <c r="G83" s="39"/>
      <c r="H83" s="39"/>
      <c r="I83" s="40">
        <v>-30</v>
      </c>
      <c r="J83" s="40">
        <v>-25</v>
      </c>
      <c r="K83" s="40">
        <v>-23.076923000000001</v>
      </c>
      <c r="L83" s="40">
        <v>-21.428571000000002</v>
      </c>
      <c r="M83" s="40">
        <v>-6</v>
      </c>
      <c r="N83" s="40">
        <v>-5.7692310000000004</v>
      </c>
      <c r="O83" s="40">
        <v>-5.6603770000000004</v>
      </c>
      <c r="P83" s="40">
        <v>-5.5555560000000002</v>
      </c>
      <c r="Q83" s="38"/>
      <c r="R83" s="39" t="s">
        <v>416</v>
      </c>
      <c r="S83" s="41" t="s">
        <v>294</v>
      </c>
    </row>
    <row r="84" spans="1:19" ht="20.100000000000001" customHeight="1" x14ac:dyDescent="0.25">
      <c r="A84" s="37" t="s">
        <v>417</v>
      </c>
      <c r="B84" s="38" t="s">
        <v>418</v>
      </c>
      <c r="C84" s="39" t="s">
        <v>419</v>
      </c>
      <c r="D84" s="39" t="s">
        <v>346</v>
      </c>
      <c r="E84" s="38">
        <v>1</v>
      </c>
      <c r="F84" s="38" t="s">
        <v>43</v>
      </c>
      <c r="G84" s="39"/>
      <c r="H84" s="39"/>
      <c r="I84" s="40">
        <v>1.05</v>
      </c>
      <c r="J84" s="40">
        <v>1.06</v>
      </c>
      <c r="K84" s="40">
        <v>1.0649999999999999</v>
      </c>
      <c r="L84" s="40">
        <v>1.07</v>
      </c>
      <c r="M84" s="40">
        <v>1.25</v>
      </c>
      <c r="N84" s="40">
        <v>1.26</v>
      </c>
      <c r="O84" s="40">
        <v>1.2649999999999999</v>
      </c>
      <c r="P84" s="40">
        <v>1.27</v>
      </c>
      <c r="Q84" s="38"/>
      <c r="R84" s="39" t="s">
        <v>347</v>
      </c>
      <c r="S84" s="41" t="s">
        <v>294</v>
      </c>
    </row>
    <row r="85" spans="1:19" ht="20.100000000000001" customHeight="1" x14ac:dyDescent="0.25">
      <c r="A85" s="37" t="s">
        <v>156</v>
      </c>
      <c r="B85" s="38" t="s">
        <v>420</v>
      </c>
      <c r="C85" s="39" t="s">
        <v>421</v>
      </c>
      <c r="D85" s="39" t="s">
        <v>293</v>
      </c>
      <c r="E85" s="38">
        <v>0</v>
      </c>
      <c r="F85" s="38"/>
      <c r="G85" s="39"/>
      <c r="H85" s="39"/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>
        <v>0</v>
      </c>
      <c r="Q85" s="38"/>
      <c r="R85" s="39" t="s">
        <v>293</v>
      </c>
      <c r="S85" s="41" t="s">
        <v>294</v>
      </c>
    </row>
    <row r="86" spans="1:19" ht="20.100000000000001" customHeight="1" x14ac:dyDescent="0.25">
      <c r="A86" s="37" t="s">
        <v>162</v>
      </c>
      <c r="B86" s="38" t="s">
        <v>422</v>
      </c>
      <c r="C86" s="39" t="s">
        <v>423</v>
      </c>
      <c r="D86" s="39" t="s">
        <v>293</v>
      </c>
      <c r="E86" s="38">
        <v>0</v>
      </c>
      <c r="F86" s="38"/>
      <c r="G86" s="39"/>
      <c r="H86" s="39"/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38"/>
      <c r="R86" s="39" t="s">
        <v>293</v>
      </c>
      <c r="S86" s="41" t="s">
        <v>294</v>
      </c>
    </row>
    <row r="87" spans="1:19" ht="30" customHeight="1" x14ac:dyDescent="0.25">
      <c r="A87" s="37" t="s">
        <v>424</v>
      </c>
      <c r="B87" s="38" t="s">
        <v>425</v>
      </c>
      <c r="C87" s="39" t="s">
        <v>426</v>
      </c>
      <c r="D87" s="39" t="s">
        <v>427</v>
      </c>
      <c r="E87" s="38">
        <v>10</v>
      </c>
      <c r="F87" s="38" t="s">
        <v>43</v>
      </c>
      <c r="G87" s="39" t="s">
        <v>428</v>
      </c>
      <c r="H87" s="39" t="s">
        <v>429</v>
      </c>
      <c r="I87" s="40">
        <v>17.28</v>
      </c>
      <c r="J87" s="40">
        <v>19.066240000000001</v>
      </c>
      <c r="K87" s="40">
        <v>20.00376</v>
      </c>
      <c r="L87" s="40">
        <v>20.971520000000002</v>
      </c>
      <c r="M87" s="40">
        <v>80</v>
      </c>
      <c r="N87" s="40">
        <v>84.896640000000005</v>
      </c>
      <c r="O87" s="40">
        <v>87.41816</v>
      </c>
      <c r="P87" s="40">
        <v>89.98912</v>
      </c>
      <c r="Q87" s="38"/>
      <c r="R87" s="39" t="s">
        <v>430</v>
      </c>
      <c r="S87" s="41" t="s">
        <v>294</v>
      </c>
    </row>
    <row r="88" spans="1:19" ht="20.100000000000001" customHeight="1" x14ac:dyDescent="0.25">
      <c r="A88" s="37" t="s">
        <v>431</v>
      </c>
      <c r="B88" s="38" t="s">
        <v>432</v>
      </c>
      <c r="C88" s="39" t="s">
        <v>433</v>
      </c>
      <c r="D88" s="39" t="s">
        <v>189</v>
      </c>
      <c r="E88" s="38">
        <v>1000</v>
      </c>
      <c r="F88" s="38"/>
      <c r="G88" s="39"/>
      <c r="H88" s="39"/>
      <c r="I88" s="40">
        <v>1000</v>
      </c>
      <c r="J88" s="40">
        <v>1000</v>
      </c>
      <c r="K88" s="40">
        <v>1000</v>
      </c>
      <c r="L88" s="40">
        <v>1000</v>
      </c>
      <c r="M88" s="40">
        <v>1000</v>
      </c>
      <c r="N88" s="40">
        <v>1000</v>
      </c>
      <c r="O88" s="40">
        <v>1000</v>
      </c>
      <c r="P88" s="40">
        <v>1000</v>
      </c>
      <c r="Q88" s="38"/>
      <c r="R88" s="39" t="s">
        <v>189</v>
      </c>
      <c r="S88" s="41" t="s">
        <v>294</v>
      </c>
    </row>
    <row r="89" spans="1:19" ht="20.100000000000001" customHeight="1" x14ac:dyDescent="0.25">
      <c r="A89" s="37" t="s">
        <v>434</v>
      </c>
      <c r="B89" s="38" t="s">
        <v>435</v>
      </c>
      <c r="C89" s="39" t="s">
        <v>436</v>
      </c>
      <c r="D89" s="39" t="s">
        <v>189</v>
      </c>
      <c r="E89" s="38">
        <v>1000</v>
      </c>
      <c r="F89" s="38"/>
      <c r="G89" s="39"/>
      <c r="H89" s="39"/>
      <c r="I89" s="40">
        <v>1000</v>
      </c>
      <c r="J89" s="40">
        <v>1000</v>
      </c>
      <c r="K89" s="40">
        <v>1000</v>
      </c>
      <c r="L89" s="40">
        <v>1000</v>
      </c>
      <c r="M89" s="40">
        <v>1000</v>
      </c>
      <c r="N89" s="40">
        <v>1000</v>
      </c>
      <c r="O89" s="40">
        <v>1000</v>
      </c>
      <c r="P89" s="40">
        <v>1000</v>
      </c>
      <c r="Q89" s="38"/>
      <c r="R89" s="39" t="s">
        <v>189</v>
      </c>
      <c r="S89" s="41" t="s">
        <v>294</v>
      </c>
    </row>
    <row r="90" spans="1:19" ht="20.100000000000001" customHeight="1" x14ac:dyDescent="0.25">
      <c r="A90" s="37" t="s">
        <v>437</v>
      </c>
      <c r="B90" s="38" t="s">
        <v>438</v>
      </c>
      <c r="C90" s="39" t="s">
        <v>439</v>
      </c>
      <c r="D90" s="39" t="s">
        <v>189</v>
      </c>
      <c r="E90" s="38">
        <v>1000</v>
      </c>
      <c r="F90" s="38"/>
      <c r="G90" s="39"/>
      <c r="H90" s="39"/>
      <c r="I90" s="40">
        <v>1000</v>
      </c>
      <c r="J90" s="40">
        <v>1000</v>
      </c>
      <c r="K90" s="40">
        <v>1000</v>
      </c>
      <c r="L90" s="40">
        <v>1000</v>
      </c>
      <c r="M90" s="40">
        <v>1000</v>
      </c>
      <c r="N90" s="40">
        <v>1000</v>
      </c>
      <c r="O90" s="40">
        <v>1000</v>
      </c>
      <c r="P90" s="40">
        <v>1000</v>
      </c>
      <c r="Q90" s="38"/>
      <c r="R90" s="39" t="s">
        <v>189</v>
      </c>
      <c r="S90" s="41" t="s">
        <v>294</v>
      </c>
    </row>
    <row r="91" spans="1:19" ht="20.100000000000001" customHeight="1" x14ac:dyDescent="0.25">
      <c r="A91" s="37" t="s">
        <v>440</v>
      </c>
      <c r="B91" s="38" t="s">
        <v>441</v>
      </c>
      <c r="C91" s="39" t="s">
        <v>442</v>
      </c>
      <c r="D91" s="39" t="s">
        <v>189</v>
      </c>
      <c r="E91" s="38">
        <v>1000</v>
      </c>
      <c r="F91" s="38"/>
      <c r="G91" s="39"/>
      <c r="H91" s="39"/>
      <c r="I91" s="40">
        <v>1000</v>
      </c>
      <c r="J91" s="40">
        <v>1000</v>
      </c>
      <c r="K91" s="40">
        <v>1000</v>
      </c>
      <c r="L91" s="40">
        <v>1000</v>
      </c>
      <c r="M91" s="40">
        <v>1000</v>
      </c>
      <c r="N91" s="40">
        <v>1000</v>
      </c>
      <c r="O91" s="40">
        <v>1000</v>
      </c>
      <c r="P91" s="40">
        <v>1000</v>
      </c>
      <c r="Q91" s="38"/>
      <c r="R91" s="39" t="s">
        <v>189</v>
      </c>
      <c r="S91" s="41" t="s">
        <v>294</v>
      </c>
    </row>
    <row r="92" spans="1:19" ht="20.100000000000001" customHeight="1" x14ac:dyDescent="0.25">
      <c r="A92" s="37" t="s">
        <v>443</v>
      </c>
      <c r="B92" s="38" t="s">
        <v>444</v>
      </c>
      <c r="C92" s="39" t="s">
        <v>445</v>
      </c>
      <c r="D92" s="39" t="s">
        <v>189</v>
      </c>
      <c r="E92" s="38">
        <v>1000</v>
      </c>
      <c r="F92" s="38"/>
      <c r="G92" s="39"/>
      <c r="H92" s="39"/>
      <c r="I92" s="40">
        <v>1000</v>
      </c>
      <c r="J92" s="40">
        <v>1000</v>
      </c>
      <c r="K92" s="40">
        <v>1000</v>
      </c>
      <c r="L92" s="40">
        <v>1000</v>
      </c>
      <c r="M92" s="40">
        <v>1000</v>
      </c>
      <c r="N92" s="40">
        <v>1000</v>
      </c>
      <c r="O92" s="40">
        <v>1000</v>
      </c>
      <c r="P92" s="40">
        <v>1000</v>
      </c>
      <c r="Q92" s="38"/>
      <c r="R92" s="39" t="s">
        <v>189</v>
      </c>
      <c r="S92" s="41" t="s">
        <v>294</v>
      </c>
    </row>
    <row r="93" spans="1:19" ht="20.100000000000001" customHeight="1" x14ac:dyDescent="0.25">
      <c r="A93" s="37" t="s">
        <v>44</v>
      </c>
      <c r="B93" s="38" t="s">
        <v>446</v>
      </c>
      <c r="C93" s="39" t="s">
        <v>447</v>
      </c>
      <c r="D93" s="39" t="s">
        <v>448</v>
      </c>
      <c r="E93" s="38">
        <v>5000</v>
      </c>
      <c r="F93" s="38" t="s">
        <v>43</v>
      </c>
      <c r="G93" s="39" t="s">
        <v>449</v>
      </c>
      <c r="H93" s="39" t="s">
        <v>449</v>
      </c>
      <c r="I93" s="40">
        <v>7200</v>
      </c>
      <c r="J93" s="40">
        <v>7688</v>
      </c>
      <c r="K93" s="40">
        <v>7938</v>
      </c>
      <c r="L93" s="40">
        <v>8192</v>
      </c>
      <c r="M93" s="40">
        <v>20000</v>
      </c>
      <c r="N93" s="40">
        <v>20808</v>
      </c>
      <c r="O93" s="40">
        <v>21218</v>
      </c>
      <c r="P93" s="40">
        <v>21632</v>
      </c>
      <c r="Q93" s="38"/>
      <c r="R93" s="39" t="s">
        <v>450</v>
      </c>
      <c r="S93" s="41" t="s">
        <v>294</v>
      </c>
    </row>
    <row r="94" spans="1:19" ht="20.100000000000001" customHeight="1" x14ac:dyDescent="0.25">
      <c r="A94" s="37" t="s">
        <v>451</v>
      </c>
      <c r="B94" s="38" t="s">
        <v>452</v>
      </c>
      <c r="C94" s="39"/>
      <c r="D94" s="39" t="s">
        <v>453</v>
      </c>
      <c r="E94" s="38">
        <v>20.100000000000001</v>
      </c>
      <c r="F94" s="38"/>
      <c r="G94" s="39"/>
      <c r="H94" s="39"/>
      <c r="I94" s="40">
        <v>20.100000000000001</v>
      </c>
      <c r="J94" s="40">
        <v>20.100000000000001</v>
      </c>
      <c r="K94" s="40">
        <v>20.100000000000001</v>
      </c>
      <c r="L94" s="40">
        <v>20.100000000000001</v>
      </c>
      <c r="M94" s="40">
        <v>20.100000000000001</v>
      </c>
      <c r="N94" s="40">
        <v>20.100000000000001</v>
      </c>
      <c r="O94" s="40">
        <v>20.100000000000001</v>
      </c>
      <c r="P94" s="40">
        <v>20.100000000000001</v>
      </c>
      <c r="Q94" s="38"/>
      <c r="R94" s="39" t="s">
        <v>453</v>
      </c>
      <c r="S94" s="41" t="s">
        <v>294</v>
      </c>
    </row>
    <row r="95" spans="1:19" ht="20.100000000000001" customHeight="1" x14ac:dyDescent="0.25">
      <c r="A95" s="37" t="s">
        <v>205</v>
      </c>
      <c r="B95" s="38" t="s">
        <v>454</v>
      </c>
      <c r="C95" s="39" t="s">
        <v>455</v>
      </c>
      <c r="D95" s="39" t="s">
        <v>293</v>
      </c>
      <c r="E95" s="38">
        <v>0</v>
      </c>
      <c r="F95" s="38"/>
      <c r="G95" s="39"/>
      <c r="H95" s="39"/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  <c r="P95" s="40">
        <v>0</v>
      </c>
      <c r="Q95" s="38"/>
      <c r="R95" s="39" t="s">
        <v>293</v>
      </c>
      <c r="S95" s="41" t="s">
        <v>294</v>
      </c>
    </row>
    <row r="96" spans="1:19" ht="20.100000000000001" customHeight="1" x14ac:dyDescent="0.25">
      <c r="A96" s="37" t="s">
        <v>456</v>
      </c>
      <c r="B96" s="38" t="s">
        <v>457</v>
      </c>
      <c r="C96" s="39"/>
      <c r="D96" s="39" t="s">
        <v>458</v>
      </c>
      <c r="E96" s="38">
        <v>60</v>
      </c>
      <c r="F96" s="38"/>
      <c r="G96" s="39"/>
      <c r="H96" s="39"/>
      <c r="I96" s="40">
        <v>60</v>
      </c>
      <c r="J96" s="40">
        <v>60</v>
      </c>
      <c r="K96" s="40">
        <v>60</v>
      </c>
      <c r="L96" s="40">
        <v>60</v>
      </c>
      <c r="M96" s="40">
        <v>60</v>
      </c>
      <c r="N96" s="40">
        <v>60</v>
      </c>
      <c r="O96" s="40">
        <v>60</v>
      </c>
      <c r="P96" s="40">
        <v>60</v>
      </c>
      <c r="Q96" s="38"/>
      <c r="R96" s="39" t="s">
        <v>458</v>
      </c>
      <c r="S96" s="41" t="s">
        <v>294</v>
      </c>
    </row>
    <row r="97" spans="1:19" ht="20.100000000000001" customHeight="1" x14ac:dyDescent="0.25">
      <c r="A97" s="37" t="s">
        <v>459</v>
      </c>
      <c r="B97" s="38" t="s">
        <v>460</v>
      </c>
      <c r="C97" s="39" t="s">
        <v>461</v>
      </c>
      <c r="D97" s="39" t="s">
        <v>462</v>
      </c>
      <c r="E97" s="38">
        <v>0.05</v>
      </c>
      <c r="F97" s="38"/>
      <c r="G97" s="39"/>
      <c r="H97" s="39"/>
      <c r="I97" s="40">
        <v>0.05</v>
      </c>
      <c r="J97" s="40">
        <v>0.05</v>
      </c>
      <c r="K97" s="40">
        <v>0.05</v>
      </c>
      <c r="L97" s="40">
        <v>0.05</v>
      </c>
      <c r="M97" s="40">
        <v>0.05</v>
      </c>
      <c r="N97" s="40">
        <v>0.05</v>
      </c>
      <c r="O97" s="40">
        <v>0.05</v>
      </c>
      <c r="P97" s="40">
        <v>0.05</v>
      </c>
      <c r="Q97" s="38"/>
      <c r="R97" s="39" t="s">
        <v>462</v>
      </c>
      <c r="S97" s="41" t="s">
        <v>294</v>
      </c>
    </row>
    <row r="98" spans="1:19" ht="20.100000000000001" customHeight="1" x14ac:dyDescent="0.25">
      <c r="A98" s="37" t="s">
        <v>463</v>
      </c>
      <c r="B98" s="38" t="s">
        <v>464</v>
      </c>
      <c r="C98" s="39" t="s">
        <v>465</v>
      </c>
      <c r="D98" s="39" t="s">
        <v>293</v>
      </c>
      <c r="E98" s="38">
        <v>0</v>
      </c>
      <c r="F98" s="38"/>
      <c r="G98" s="39"/>
      <c r="H98" s="39"/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38"/>
      <c r="R98" s="39" t="s">
        <v>293</v>
      </c>
      <c r="S98" s="41" t="s">
        <v>294</v>
      </c>
    </row>
    <row r="99" spans="1:19" ht="20.100000000000001" customHeight="1" x14ac:dyDescent="0.25">
      <c r="A99" s="37" t="s">
        <v>242</v>
      </c>
      <c r="B99" s="38" t="s">
        <v>466</v>
      </c>
      <c r="C99" s="39" t="s">
        <v>467</v>
      </c>
      <c r="D99" s="39" t="s">
        <v>293</v>
      </c>
      <c r="E99" s="38">
        <v>0</v>
      </c>
      <c r="F99" s="38"/>
      <c r="G99" s="39"/>
      <c r="H99" s="39"/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38"/>
      <c r="R99" s="39" t="s">
        <v>293</v>
      </c>
      <c r="S99" s="41" t="s">
        <v>294</v>
      </c>
    </row>
    <row r="100" spans="1:19" ht="20.100000000000001" customHeight="1" x14ac:dyDescent="0.25">
      <c r="A100" s="37" t="s">
        <v>248</v>
      </c>
      <c r="B100" s="38" t="s">
        <v>468</v>
      </c>
      <c r="C100" s="39" t="s">
        <v>469</v>
      </c>
      <c r="D100" s="39" t="s">
        <v>293</v>
      </c>
      <c r="E100" s="38">
        <v>0</v>
      </c>
      <c r="F100" s="38"/>
      <c r="G100" s="39"/>
      <c r="H100" s="39"/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38"/>
      <c r="R100" s="39" t="s">
        <v>293</v>
      </c>
      <c r="S100" s="41" t="s">
        <v>294</v>
      </c>
    </row>
    <row r="101" spans="1:19" ht="20.100000000000001" customHeight="1" x14ac:dyDescent="0.25">
      <c r="A101" s="37" t="s">
        <v>254</v>
      </c>
      <c r="B101" s="38" t="s">
        <v>470</v>
      </c>
      <c r="C101" s="39" t="s">
        <v>471</v>
      </c>
      <c r="D101" s="39" t="s">
        <v>293</v>
      </c>
      <c r="E101" s="38">
        <v>0</v>
      </c>
      <c r="F101" s="38"/>
      <c r="G101" s="39"/>
      <c r="H101" s="39"/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v>0</v>
      </c>
      <c r="Q101" s="38"/>
      <c r="R101" s="39" t="s">
        <v>293</v>
      </c>
      <c r="S101" s="41" t="s">
        <v>294</v>
      </c>
    </row>
    <row r="102" spans="1:19" ht="20.100000000000001" customHeight="1" x14ac:dyDescent="0.25">
      <c r="A102" s="37" t="s">
        <v>260</v>
      </c>
      <c r="B102" s="38" t="s">
        <v>472</v>
      </c>
      <c r="C102" s="39" t="s">
        <v>473</v>
      </c>
      <c r="D102" s="39" t="s">
        <v>293</v>
      </c>
      <c r="E102" s="38">
        <v>0</v>
      </c>
      <c r="F102" s="38"/>
      <c r="G102" s="39"/>
      <c r="H102" s="39"/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38"/>
      <c r="R102" s="39" t="s">
        <v>293</v>
      </c>
      <c r="S102" s="41" t="s">
        <v>294</v>
      </c>
    </row>
    <row r="103" spans="1:19" ht="20.100000000000001" customHeight="1" x14ac:dyDescent="0.25">
      <c r="A103" s="37" t="s">
        <v>272</v>
      </c>
      <c r="B103" s="38" t="s">
        <v>474</v>
      </c>
      <c r="C103" s="39" t="s">
        <v>475</v>
      </c>
      <c r="D103" s="39" t="s">
        <v>293</v>
      </c>
      <c r="E103" s="38">
        <v>0</v>
      </c>
      <c r="F103" s="38"/>
      <c r="G103" s="39"/>
      <c r="H103" s="39"/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0">
        <v>0</v>
      </c>
      <c r="O103" s="40">
        <v>0</v>
      </c>
      <c r="P103" s="40">
        <v>0</v>
      </c>
      <c r="Q103" s="38"/>
      <c r="R103" s="39" t="s">
        <v>293</v>
      </c>
      <c r="S103" s="41" t="s">
        <v>294</v>
      </c>
    </row>
    <row r="104" spans="1:19" ht="20.100000000000001" customHeight="1" x14ac:dyDescent="0.25">
      <c r="A104" s="37" t="s">
        <v>476</v>
      </c>
      <c r="B104" s="38" t="s">
        <v>477</v>
      </c>
      <c r="C104" s="39"/>
      <c r="D104" s="39" t="s">
        <v>478</v>
      </c>
      <c r="E104" s="38">
        <v>5.5</v>
      </c>
      <c r="F104" s="38"/>
      <c r="G104" s="39"/>
      <c r="H104" s="39"/>
      <c r="I104" s="40">
        <v>5.5</v>
      </c>
      <c r="J104" s="40">
        <v>5.5</v>
      </c>
      <c r="K104" s="40">
        <v>5.5</v>
      </c>
      <c r="L104" s="40">
        <v>5.5</v>
      </c>
      <c r="M104" s="40">
        <v>5.5</v>
      </c>
      <c r="N104" s="40">
        <v>5.5</v>
      </c>
      <c r="O104" s="40">
        <v>5.5</v>
      </c>
      <c r="P104" s="40">
        <v>5.5</v>
      </c>
      <c r="Q104" s="38"/>
      <c r="R104" s="39" t="s">
        <v>478</v>
      </c>
      <c r="S104" s="41" t="s">
        <v>294</v>
      </c>
    </row>
    <row r="105" spans="1:19" ht="20.100000000000001" customHeight="1" x14ac:dyDescent="0.25">
      <c r="A105" s="37" t="s">
        <v>283</v>
      </c>
      <c r="B105" s="38" t="s">
        <v>479</v>
      </c>
      <c r="C105" s="39" t="s">
        <v>480</v>
      </c>
      <c r="D105" s="39" t="s">
        <v>293</v>
      </c>
      <c r="E105" s="38">
        <v>0</v>
      </c>
      <c r="F105" s="38"/>
      <c r="G105" s="39"/>
      <c r="H105" s="39"/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40">
        <v>0</v>
      </c>
      <c r="Q105" s="38"/>
      <c r="R105" s="39" t="s">
        <v>293</v>
      </c>
      <c r="S105" s="41" t="s">
        <v>294</v>
      </c>
    </row>
    <row r="106" spans="1:19" ht="20.100000000000001" customHeight="1" x14ac:dyDescent="0.25">
      <c r="A106" s="37" t="s">
        <v>481</v>
      </c>
      <c r="B106" s="38" t="s">
        <v>482</v>
      </c>
      <c r="C106" s="39" t="s">
        <v>483</v>
      </c>
      <c r="D106" s="39" t="s">
        <v>293</v>
      </c>
      <c r="E106" s="38">
        <v>0</v>
      </c>
      <c r="F106" s="38"/>
      <c r="G106" s="39"/>
      <c r="H106" s="39"/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38"/>
      <c r="R106" s="39" t="s">
        <v>293</v>
      </c>
      <c r="S106" s="41" t="s">
        <v>294</v>
      </c>
    </row>
    <row r="107" spans="1:19" ht="20.100000000000001" customHeight="1" x14ac:dyDescent="0.25">
      <c r="A107" s="37" t="s">
        <v>658</v>
      </c>
      <c r="B107" s="38" t="s">
        <v>266</v>
      </c>
      <c r="C107" s="39" t="s">
        <v>484</v>
      </c>
      <c r="D107" s="39" t="s">
        <v>293</v>
      </c>
      <c r="E107" s="38">
        <v>0</v>
      </c>
      <c r="F107" s="38"/>
      <c r="G107" s="39"/>
      <c r="H107" s="39"/>
      <c r="I107" s="40">
        <v>10</v>
      </c>
      <c r="J107" s="40">
        <v>12</v>
      </c>
      <c r="K107" s="40">
        <v>13</v>
      </c>
      <c r="L107" s="40">
        <v>14</v>
      </c>
      <c r="M107" s="40">
        <v>50</v>
      </c>
      <c r="N107" s="40">
        <v>52</v>
      </c>
      <c r="O107" s="40">
        <v>53</v>
      </c>
      <c r="P107" s="40">
        <v>54</v>
      </c>
      <c r="Q107" s="38" t="s">
        <v>24</v>
      </c>
      <c r="R107" s="39" t="s">
        <v>293</v>
      </c>
      <c r="S107" s="41" t="s">
        <v>485</v>
      </c>
    </row>
    <row r="108" spans="1:19" ht="20.100000000000001" customHeight="1" x14ac:dyDescent="0.25">
      <c r="A108" s="37" t="s">
        <v>659</v>
      </c>
      <c r="B108" s="38" t="s">
        <v>104</v>
      </c>
      <c r="C108" s="39" t="s">
        <v>486</v>
      </c>
      <c r="D108" s="39" t="s">
        <v>293</v>
      </c>
      <c r="E108" s="38">
        <v>0</v>
      </c>
      <c r="F108" s="38"/>
      <c r="G108" s="39"/>
      <c r="H108" s="39"/>
      <c r="I108" s="40">
        <v>10</v>
      </c>
      <c r="J108" s="40">
        <v>12</v>
      </c>
      <c r="K108" s="40">
        <v>13</v>
      </c>
      <c r="L108" s="40">
        <v>14</v>
      </c>
      <c r="M108" s="40">
        <v>50</v>
      </c>
      <c r="N108" s="40">
        <v>52</v>
      </c>
      <c r="O108" s="40">
        <v>53</v>
      </c>
      <c r="P108" s="40">
        <v>54</v>
      </c>
      <c r="Q108" s="38" t="s">
        <v>24</v>
      </c>
      <c r="R108" s="39" t="s">
        <v>293</v>
      </c>
      <c r="S108" s="41" t="s">
        <v>485</v>
      </c>
    </row>
    <row r="109" spans="1:19" ht="20.100000000000001" customHeight="1" x14ac:dyDescent="0.25">
      <c r="A109" s="37" t="s">
        <v>660</v>
      </c>
      <c r="B109" s="38" t="s">
        <v>61</v>
      </c>
      <c r="C109" s="39" t="s">
        <v>487</v>
      </c>
      <c r="D109" s="39" t="s">
        <v>293</v>
      </c>
      <c r="E109" s="38">
        <v>0</v>
      </c>
      <c r="F109" s="38"/>
      <c r="G109" s="39"/>
      <c r="H109" s="39"/>
      <c r="I109" s="40">
        <v>10</v>
      </c>
      <c r="J109" s="40">
        <v>12</v>
      </c>
      <c r="K109" s="40">
        <v>13</v>
      </c>
      <c r="L109" s="40">
        <v>14</v>
      </c>
      <c r="M109" s="40">
        <v>50</v>
      </c>
      <c r="N109" s="40">
        <v>52</v>
      </c>
      <c r="O109" s="40">
        <v>53</v>
      </c>
      <c r="P109" s="40">
        <v>54</v>
      </c>
      <c r="Q109" s="38" t="s">
        <v>24</v>
      </c>
      <c r="R109" s="39" t="s">
        <v>293</v>
      </c>
      <c r="S109" s="41" t="s">
        <v>485</v>
      </c>
    </row>
    <row r="110" spans="1:19" ht="20.100000000000001" customHeight="1" x14ac:dyDescent="0.25">
      <c r="A110" s="37" t="s">
        <v>661</v>
      </c>
      <c r="B110" s="38" t="s">
        <v>302</v>
      </c>
      <c r="C110" s="39" t="s">
        <v>488</v>
      </c>
      <c r="D110" s="39" t="s">
        <v>293</v>
      </c>
      <c r="E110" s="38">
        <v>0</v>
      </c>
      <c r="F110" s="38"/>
      <c r="G110" s="39"/>
      <c r="H110" s="39"/>
      <c r="I110" s="40">
        <v>10</v>
      </c>
      <c r="J110" s="40">
        <v>12</v>
      </c>
      <c r="K110" s="40">
        <v>13</v>
      </c>
      <c r="L110" s="40">
        <v>14</v>
      </c>
      <c r="M110" s="40">
        <v>50</v>
      </c>
      <c r="N110" s="40">
        <v>52</v>
      </c>
      <c r="O110" s="40">
        <v>53</v>
      </c>
      <c r="P110" s="40">
        <v>54</v>
      </c>
      <c r="Q110" s="38" t="s">
        <v>24</v>
      </c>
      <c r="R110" s="39" t="s">
        <v>293</v>
      </c>
      <c r="S110" s="41" t="s">
        <v>485</v>
      </c>
    </row>
    <row r="111" spans="1:19" ht="20.100000000000001" customHeight="1" x14ac:dyDescent="0.25">
      <c r="A111" s="37" t="s">
        <v>662</v>
      </c>
      <c r="B111" s="38" t="s">
        <v>93</v>
      </c>
      <c r="C111" s="39" t="s">
        <v>489</v>
      </c>
      <c r="D111" s="39" t="s">
        <v>293</v>
      </c>
      <c r="E111" s="38">
        <v>0</v>
      </c>
      <c r="F111" s="38"/>
      <c r="G111" s="39"/>
      <c r="H111" s="39"/>
      <c r="I111" s="40">
        <v>10</v>
      </c>
      <c r="J111" s="40">
        <v>12</v>
      </c>
      <c r="K111" s="40">
        <v>13</v>
      </c>
      <c r="L111" s="40">
        <v>14</v>
      </c>
      <c r="M111" s="40">
        <v>50</v>
      </c>
      <c r="N111" s="40">
        <v>52</v>
      </c>
      <c r="O111" s="40">
        <v>53</v>
      </c>
      <c r="P111" s="40">
        <v>54</v>
      </c>
      <c r="Q111" s="38" t="s">
        <v>24</v>
      </c>
      <c r="R111" s="39" t="s">
        <v>293</v>
      </c>
      <c r="S111" s="41" t="s">
        <v>485</v>
      </c>
    </row>
    <row r="112" spans="1:19" ht="20.100000000000001" customHeight="1" x14ac:dyDescent="0.25">
      <c r="A112" s="37" t="s">
        <v>663</v>
      </c>
      <c r="B112" s="38" t="s">
        <v>43</v>
      </c>
      <c r="C112" s="39" t="s">
        <v>490</v>
      </c>
      <c r="D112" s="39" t="s">
        <v>293</v>
      </c>
      <c r="E112" s="38">
        <v>0</v>
      </c>
      <c r="F112" s="38"/>
      <c r="G112" s="39"/>
      <c r="H112" s="39"/>
      <c r="I112" s="40">
        <v>10</v>
      </c>
      <c r="J112" s="40">
        <v>12</v>
      </c>
      <c r="K112" s="40">
        <v>13</v>
      </c>
      <c r="L112" s="40">
        <v>14</v>
      </c>
      <c r="M112" s="40">
        <v>50</v>
      </c>
      <c r="N112" s="40">
        <v>52</v>
      </c>
      <c r="O112" s="40">
        <v>53</v>
      </c>
      <c r="P112" s="40">
        <v>54</v>
      </c>
      <c r="Q112" s="38" t="s">
        <v>24</v>
      </c>
      <c r="R112" s="39" t="s">
        <v>293</v>
      </c>
      <c r="S112" s="41" t="s">
        <v>485</v>
      </c>
    </row>
    <row r="113" spans="1:19" ht="20.100000000000001" customHeight="1" x14ac:dyDescent="0.25">
      <c r="A113" s="37" t="s">
        <v>664</v>
      </c>
      <c r="B113" s="38" t="s">
        <v>289</v>
      </c>
      <c r="C113" s="39" t="s">
        <v>491</v>
      </c>
      <c r="D113" s="39" t="s">
        <v>293</v>
      </c>
      <c r="E113" s="38">
        <v>0</v>
      </c>
      <c r="F113" s="38"/>
      <c r="G113" s="39"/>
      <c r="H113" s="39"/>
      <c r="I113" s="40">
        <v>10</v>
      </c>
      <c r="J113" s="40">
        <v>12</v>
      </c>
      <c r="K113" s="40">
        <v>13</v>
      </c>
      <c r="L113" s="40">
        <v>14</v>
      </c>
      <c r="M113" s="40">
        <v>50</v>
      </c>
      <c r="N113" s="40">
        <v>52</v>
      </c>
      <c r="O113" s="40">
        <v>53</v>
      </c>
      <c r="P113" s="40">
        <v>54</v>
      </c>
      <c r="Q113" s="38" t="s">
        <v>24</v>
      </c>
      <c r="R113" s="39" t="s">
        <v>293</v>
      </c>
      <c r="S113" s="41" t="s">
        <v>485</v>
      </c>
    </row>
    <row r="114" spans="1:19" ht="20.100000000000001" customHeight="1" x14ac:dyDescent="0.25">
      <c r="A114" s="37" t="s">
        <v>665</v>
      </c>
      <c r="B114" s="38" t="s">
        <v>35</v>
      </c>
      <c r="C114" s="39" t="s">
        <v>492</v>
      </c>
      <c r="D114" s="39" t="s">
        <v>293</v>
      </c>
      <c r="E114" s="38">
        <v>0</v>
      </c>
      <c r="F114" s="38"/>
      <c r="G114" s="39"/>
      <c r="H114" s="39"/>
      <c r="I114" s="40">
        <v>10</v>
      </c>
      <c r="J114" s="40">
        <v>12</v>
      </c>
      <c r="K114" s="40">
        <v>13</v>
      </c>
      <c r="L114" s="40">
        <v>14</v>
      </c>
      <c r="M114" s="40">
        <v>50</v>
      </c>
      <c r="N114" s="40">
        <v>52</v>
      </c>
      <c r="O114" s="40">
        <v>53</v>
      </c>
      <c r="P114" s="40">
        <v>54</v>
      </c>
      <c r="Q114" s="38" t="s">
        <v>24</v>
      </c>
      <c r="R114" s="39" t="s">
        <v>293</v>
      </c>
      <c r="S114" s="41" t="s">
        <v>485</v>
      </c>
    </row>
    <row r="115" spans="1:19" ht="20.100000000000001" customHeight="1" x14ac:dyDescent="0.25">
      <c r="A115" s="42" t="s">
        <v>666</v>
      </c>
      <c r="B115" s="43" t="s">
        <v>224</v>
      </c>
      <c r="C115" s="44" t="s">
        <v>493</v>
      </c>
      <c r="D115" s="44" t="s">
        <v>293</v>
      </c>
      <c r="E115" s="43">
        <v>0</v>
      </c>
      <c r="F115" s="43"/>
      <c r="G115" s="44"/>
      <c r="H115" s="44"/>
      <c r="I115" s="45">
        <v>10</v>
      </c>
      <c r="J115" s="45">
        <v>12</v>
      </c>
      <c r="K115" s="45">
        <v>13</v>
      </c>
      <c r="L115" s="45">
        <v>14</v>
      </c>
      <c r="M115" s="45">
        <v>50</v>
      </c>
      <c r="N115" s="45">
        <v>52</v>
      </c>
      <c r="O115" s="45">
        <v>53</v>
      </c>
      <c r="P115" s="45">
        <v>54</v>
      </c>
      <c r="Q115" s="43" t="s">
        <v>24</v>
      </c>
      <c r="R115" s="44" t="s">
        <v>293</v>
      </c>
      <c r="S115" s="46" t="s">
        <v>485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 Formulas</vt:lpstr>
      <vt:lpstr>Race Data</vt:lpstr>
      <vt:lpstr>Creation Calculator</vt:lpstr>
      <vt:lpstr>Gear Calculator</vt:lpstr>
      <vt:lpstr>Stat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2026-03-21T14:59:11Z</dcterms:created>
  <dcterms:modified xsi:type="dcterms:W3CDTF">2026-04-01T14:43:12Z</dcterms:modified>
</cp:coreProperties>
</file>